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15b1f064a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ation" sheetId="1" r:id="R890759fee47c484e"/>
    <x:sheet xmlns:r="http://schemas.openxmlformats.org/officeDocument/2006/relationships" name="Sites_Current" sheetId="2" r:id="Rc4425d58563b41b9"/>
    <x:sheet xmlns:r="http://schemas.openxmlformats.org/officeDocument/2006/relationships" name="Sites_Planned" sheetId="3" r:id="R7b6fd69ad0ba4257"/>
    <x:sheet xmlns:r="http://schemas.openxmlformats.org/officeDocument/2006/relationships" name="Company_Summary" sheetId="4" r:id="R3e32c7d4243f43ca"/>
    <x:sheet xmlns:r="http://schemas.openxmlformats.org/officeDocument/2006/relationships" name="Signed_Capacity" sheetId="5" r:id="Ra66e21eef40d4928"/>
    <x:sheet xmlns:r="http://schemas.openxmlformats.org/officeDocument/2006/relationships" name="Commitments" sheetId="6" r:id="R86f88ad35ff740e7"/>
    <x:sheet xmlns:r="http://schemas.openxmlformats.org/officeDocument/2006/relationships" name="Contract_Costs" sheetId="7" r:id="Rc52d11e9f52e4894"/>
    <x:sheet xmlns:r="http://schemas.openxmlformats.org/officeDocument/2006/relationships" name="Per_GW_Economics" sheetId="8" r:id="R5e6b6f1cdf7140f7"/>
    <x:sheet xmlns:r="http://schemas.openxmlformats.org/officeDocument/2006/relationships" name="Stock_Implications" sheetId="9" r:id="R69c62832c2e4420e"/>
    <x:sheet xmlns:r="http://schemas.openxmlformats.org/officeDocument/2006/relationships" name="Dashboard" sheetId="10" r:id="Rd237ee92b5894739"/>
    <x:sheet xmlns:r="http://schemas.openxmlformats.org/officeDocument/2006/relationships" name="Sources" sheetId="11" r:id="Rfd36225edfb041ce"/>
    <x:sheet xmlns:r="http://schemas.openxmlformats.org/officeDocument/2006/relationships" name="Company_GW_Costs" sheetId="12" r:id="R3d0025b9e712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0.00;[Red](0.00);-"/>
    <x:numFmt numFmtId="201" formatCode="0.000;[Red](0.000);-"/>
    <x:numFmt numFmtId="202" formatCode="#,##0;[Red](#,##0);-"/>
    <x:numFmt numFmtId="203" formatCode="0.0;[Red](0.0);-"/>
    <x:numFmt numFmtId="204" formatCode="$0.00;[Red]($0.00);-"/>
    <x:numFmt numFmtId="205" formatCode="$#,##0;[Red]($#,##0);-"/>
    <x:numFmt numFmtId="206" formatCode="0.0%;[Red](0.0%);-"/>
    <x:numFmt numFmtId="207" formatCode="$0.0000;[Red]($0.0000);-"/>
    <x:numFmt numFmtId="208" formatCode="0.0x;[Red](0.0x);-"/>
    <x:numFmt numFmtId="209" formatCode="0.0%"/>
    <x:numFmt numFmtId="210" formatCode="0"/>
    <x:numFmt numFmtId="211" formatCode="0.0"/>
    <x:numFmt numFmtId="212" formatCode="$0.000"/>
    <x:numFmt numFmtId="213" formatCode="0;[Red](0);-"/>
    <x:numFmt numFmtId="214" formatCode="0.000"/>
    <x:numFmt numFmtId="215" formatCode="$0.00"/>
    <x:numFmt numFmtId="216" formatCode="0.00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9"/>
      <x:color rgb="FF17365D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color rgb="FF000000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9"/>
      <x:color rgb="FF000000"/>
      <x:name val="Carlito"/>
    </x:font>
    <x:font>
      <x:b/>
      <x:sz val="20"/>
      <x:color rgb="FFFFFFFF"/>
      <x:name val="Carlito"/>
    </x:font>
    <x:font>
      <x:i/>
      <x:sz val="10"/>
      <x:color rgb="FFFFFFFF"/>
      <x:name val="Carlito"/>
    </x:font>
    <x:font>
      <x:b/>
      <x:sz val="10"/>
      <x:color rgb="FF17365D"/>
      <x:name val="Carlito"/>
    </x:font>
    <x:font>
      <x:sz val="10"/>
      <x:color rgb="FF1F2933"/>
      <x:name val="Carlito"/>
    </x:font>
    <x:font>
      <x:sz val="11"/>
      <x:color rgb="FF1F2933"/>
      <x:name val="Carlito"/>
    </x:font>
    <x:font>
      <x:sz val="11"/>
      <x:color rgb="FF0000FF"/>
      <x:name val="Carlito"/>
    </x:font>
    <x:font>
      <x:sz val="9"/>
      <x:color rgb="FF1F2933"/>
      <x:name val="Carlito"/>
    </x:font>
    <x:font>
      <x:i/>
      <x:sz val="9"/>
      <x:color rgb="FF5B6770"/>
      <x:name val="Carlito"/>
    </x:font>
    <x:font>
      <x:b/>
      <x:sz val="8"/>
      <x:color rgb="FFFFFFFF"/>
      <x:name val="Carlito"/>
    </x:font>
    <x:font>
      <x:sz val="8"/>
      <x:color rgb="FF1F2933"/>
      <x:name val="Carlito"/>
    </x:font>
    <x:font>
      <x:sz val="8"/>
      <x:color rgb="FF0000FF"/>
      <x:name val="Carlito"/>
    </x:font>
    <x:font>
      <x:sz val="8"/>
      <x:color rgb="FF008000"/>
      <x:name val="Carlito"/>
    </x:font>
    <x:font>
      <x:sz val="9"/>
      <x:color rgb="FF0563C1"/>
      <x:name val="Carlito"/>
    </x:font>
    <x:font>
      <x:i/>
      <x:sz val="9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5FA"/>
      </x:patternFill>
    </x:fill>
    <x:fill>
      <x:patternFill patternType="solid">
        <x:fgColor rgb="FFFFF2CC"/>
      </x:patternFill>
    </x:fill>
    <x:fill>
      <x:patternFill patternType="solid">
        <x:fgColor rgb="FF14243A"/>
      </x:patternFill>
    </x:fill>
    <x:fill>
      <x:patternFill patternType="solid">
        <x:fgColor rgb="FFEAF1F6"/>
      </x:patternFill>
    </x:fill>
    <x:fill>
      <x:patternFill patternType="solid">
        <x:fgColor rgb="FF0F7C82"/>
      </x:patternFill>
    </x:fill>
    <x:fill>
      <x:patternFill patternType="solid">
        <x:fgColor rgb="FF203A5B"/>
      </x:patternFill>
    </x:fill>
    <x:fill>
      <x:patternFill patternType="solid">
        <x:fgColor rgb="FFF5F8FA"/>
      </x:patternFill>
    </x:fill>
    <x:fill>
      <x:patternFill patternType="solid">
        <x:fgColor rgb="FFFFF8E7"/>
      </x:patternFill>
    </x:fill>
    <x:fill>
      <x:patternFill patternType="solid">
        <x:fgColor rgb="FFFFFFFF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C8D2DC"/>
      </x:left>
      <x:right style="thin">
        <x:color rgb="FFD9E1E8"/>
      </x:right>
      <x:top style="thin">
        <x:color rgb="FFC8D2DC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C8D2DC"/>
      </x:top>
      <x:bottom style="thin">
        <x:color rgb="FFD9E1E8"/>
      </x:bottom>
    </x:border>
    <x:border>
      <x:left style="thin">
        <x:color rgb="FFD9E1E8"/>
      </x:left>
      <x:right style="thin">
        <x:color rgb="FFC8D2DC"/>
      </x:right>
      <x:top style="thin">
        <x:color rgb="FFC8D2DC"/>
      </x:top>
      <x:bottom style="thin">
        <x:color rgb="FFD9E1E8"/>
      </x:bottom>
    </x:border>
    <x:border>
      <x:left style="thin">
        <x:color rgb="FFC8D2DC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C8D2DC"/>
      </x:right>
      <x:top style="thin">
        <x:color rgb="FFD9E1E8"/>
      </x:top>
      <x:bottom style="thin">
        <x:color rgb="FFD9E1E8"/>
      </x:bottom>
    </x:border>
    <x:border>
      <x:left style="thin">
        <x:color rgb="FFC8D2DC"/>
      </x:left>
      <x:right style="thin">
        <x:color rgb="FFD9E1E8"/>
      </x:right>
      <x:top style="thin">
        <x:color rgb="FFD9E1E8"/>
      </x:top>
      <x:bottom style="thin">
        <x:color rgb="FFC8D2DC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C8D2DC"/>
      </x:bottom>
    </x:border>
    <x:border>
      <x:left style="thin">
        <x:color rgb="FFD9E1E8"/>
      </x:left>
      <x:right style="thin">
        <x:color rgb="FFC8D2DC"/>
      </x:right>
      <x:top style="thin">
        <x:color rgb="FFD9E1E8"/>
      </x:top>
      <x:bottom style="thin">
        <x:color rgb="FFC8D2DC"/>
      </x:bottom>
    </x:border>
    <x:border>
      <x:left style="thin">
        <x:color rgb="FFC8D2DC"/>
      </x:left>
      <x:right style="thin">
        <x:color rgb="FFD9E1E8"/>
      </x:right>
      <x:top style="thin">
        <x:color rgb="FFC8D2DC"/>
      </x:top>
      <x:bottom style="thin">
        <x:color rgb="FFC8D2DC"/>
      </x:bottom>
    </x:border>
    <x:border>
      <x:left style="thin">
        <x:color rgb="FFD9E1E8"/>
      </x:left>
      <x:right style="thin">
        <x:color rgb="FFD9E1E8"/>
      </x:right>
      <x:top style="thin">
        <x:color rgb="FFC8D2DC"/>
      </x:top>
      <x:bottom style="thin">
        <x:color rgb="FFC8D2DC"/>
      </x:bottom>
    </x:border>
    <x:border>
      <x:left style="thin">
        <x:color rgb="FFD9E1E8"/>
      </x:left>
      <x:right style="thin">
        <x:color rgb="FFC8D2DC"/>
      </x:right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4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5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200" fontId="6" fillId="5" borderId="0" xfId="0" applyNumberFormat="1" applyFont="1" applyFill="1" applyBorder="1" applyAlignment="1">
      <x:alignment vertical="top" wrapText="1"/>
    </x:xf>
    <x:xf numFmtId="200" fontId="5" fillId="5" borderId="4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200" fontId="6" fillId="5" borderId="4" xfId="0" applyNumberFormat="1" applyFont="1" applyFill="1" applyBorder="1" applyAlignment="1">
      <x:alignment vertical="top" wrapText="1"/>
    </x:xf>
    <x:xf numFmtId="200" fontId="6" fillId="5" borderId="5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1" fontId="5" fillId="5" borderId="4" xfId="0" applyNumberFormat="1" applyFont="1" applyFill="1" applyBorder="1" applyAlignment="1">
      <x:alignment vertical="top" wrapText="1"/>
    </x:xf>
    <x:xf numFmtId="201" fontId="5" fillId="5" borderId="1" xfId="0" applyNumberFormat="1" applyFont="1" applyFill="1" applyBorder="1" applyAlignment="1">
      <x:alignment vertical="top" wrapText="1"/>
    </x:xf>
    <x:xf numFmtId="201" fontId="5" fillId="5" borderId="5" xfId="0" applyNumberFormat="1" applyFont="1" applyFill="1" applyBorder="1" applyAlignment="1">
      <x:alignment vertical="top" wrapText="1"/>
    </x:xf>
    <x:xf numFmtId="202" fontId="5" fillId="5" borderId="0" xfId="0" applyNumberFormat="1" applyFont="1" applyFill="1" applyBorder="1" applyAlignment="1">
      <x:alignment vertical="top" wrapText="1"/>
    </x:xf>
    <x:xf numFmtId="202" fontId="5" fillId="5" borderId="4" xfId="0" applyNumberFormat="1" applyFont="1" applyFill="1" applyBorder="1" applyAlignment="1">
      <x:alignment vertical="top" wrapText="1"/>
    </x:xf>
    <x:xf numFmtId="202" fontId="5" fillId="5" borderId="1" xfId="0" applyNumberFormat="1" applyFont="1" applyFill="1" applyBorder="1" applyAlignment="1">
      <x:alignment vertical="top" wrapText="1"/>
    </x:xf>
    <x:xf numFmtId="202" fontId="5" fillId="5" borderId="5" xfId="0" applyNumberFormat="1" applyFont="1" applyFill="1" applyBorder="1" applyAlignment="1">
      <x:alignment vertical="top" wrapText="1"/>
    </x:xf>
    <x:xf numFmtId="203" fontId="6" fillId="5" borderId="0" xfId="0" applyNumberFormat="1" applyFont="1" applyFill="1" applyBorder="1" applyAlignment="1">
      <x:alignment vertical="top" wrapText="1"/>
    </x:xf>
    <x:xf numFmtId="203" fontId="6" fillId="5" borderId="4" xfId="0" applyNumberFormat="1" applyFont="1" applyFill="1" applyBorder="1" applyAlignment="1">
      <x:alignment vertical="top" wrapText="1"/>
    </x:xf>
    <x:xf numFmtId="203" fontId="6" fillId="5" borderId="1" xfId="0" applyNumberFormat="1" applyFont="1" applyFill="1" applyBorder="1" applyAlignment="1">
      <x:alignment vertical="top" wrapText="1"/>
    </x:xf>
    <x:xf numFmtId="203" fontId="6" fillId="5" borderId="5" xfId="0" applyNumberFormat="1" applyFont="1" applyFill="1" applyBorder="1" applyAlignment="1">
      <x:alignment vertical="top" wrapText="1"/>
    </x:xf>
    <x:xf numFmtId="204" fontId="6" fillId="5" borderId="0" xfId="0" applyNumberFormat="1" applyFont="1" applyFill="1" applyBorder="1" applyAlignment="1">
      <x:alignment vertical="top" wrapText="1"/>
    </x:xf>
    <x:xf numFmtId="204" fontId="6" fillId="5" borderId="4" xfId="0" applyNumberFormat="1" applyFont="1" applyFill="1" applyBorder="1" applyAlignment="1">
      <x:alignment vertical="top" wrapText="1"/>
    </x:xf>
    <x:xf numFmtId="204" fontId="6" fillId="5" borderId="1" xfId="0" applyNumberFormat="1" applyFont="1" applyFill="1" applyBorder="1" applyAlignment="1">
      <x:alignment vertical="top" wrapText="1"/>
    </x:xf>
    <x:xf numFmtId="204" fontId="6" fillId="5" borderId="5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203" fontId="7" fillId="5" borderId="0" xfId="0" applyNumberFormat="1" applyFont="1" applyFill="1" applyBorder="1" applyAlignment="1">
      <x:alignment vertical="top" wrapText="1"/>
    </x:xf>
    <x:xf numFmtId="203" fontId="7" fillId="5" borderId="4" xfId="0" applyNumberFormat="1" applyFont="1" applyFill="1" applyBorder="1" applyAlignment="1">
      <x:alignment vertical="top" wrapText="1"/>
    </x:xf>
    <x:xf numFmtId="203" fontId="7" fillId="5" borderId="1" xfId="0" applyNumberFormat="1" applyFont="1" applyFill="1" applyBorder="1" applyAlignment="1">
      <x:alignment vertical="top" wrapText="1"/>
    </x:xf>
    <x:xf numFmtId="203" fontId="7" fillId="5" borderId="5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 applyAlignment="1">
      <x:alignment vertical="top" wrapText="1"/>
    </x:xf>
    <x:xf numFmtId="200" fontId="7" fillId="5" borderId="4" xfId="0" applyNumberFormat="1" applyFont="1" applyFill="1" applyBorder="1" applyAlignment="1">
      <x:alignment vertical="top" wrapText="1"/>
    </x:xf>
    <x:xf numFmtId="200" fontId="7" fillId="5" borderId="1" xfId="0" applyNumberFormat="1" applyFont="1" applyFill="1" applyBorder="1" applyAlignment="1">
      <x:alignment vertical="top" wrapText="1"/>
    </x:xf>
    <x:xf numFmtId="200" fontId="7" fillId="5" borderId="5" xfId="0" applyNumberFormat="1" applyFont="1" applyFill="1" applyBorder="1" applyAlignment="1">
      <x:alignment vertical="top" wrapText="1"/>
    </x:xf>
    <x:xf numFmtId="204" fontId="5" fillId="5" borderId="0" xfId="0" applyNumberFormat="1" applyFont="1" applyFill="1" applyBorder="1" applyAlignment="1">
      <x:alignment vertical="top" wrapText="1"/>
    </x:xf>
    <x:xf numFmtId="204" fontId="5" fillId="5" borderId="4" xfId="0" applyNumberFormat="1" applyFont="1" applyFill="1" applyBorder="1" applyAlignment="1">
      <x:alignment vertical="top" wrapText="1"/>
    </x:xf>
    <x:xf numFmtId="204" fontId="5" fillId="5" borderId="1" xfId="0" applyNumberFormat="1" applyFont="1" applyFill="1" applyBorder="1" applyAlignment="1">
      <x:alignment vertical="top" wrapText="1"/>
    </x:xf>
    <x:xf numFmtId="204" fontId="5" fillId="5" borderId="5" xfId="0" applyNumberFormat="1" applyFont="1" applyFill="1" applyBorder="1" applyAlignment="1">
      <x:alignment vertical="top" wrapText="1"/>
    </x:xf>
    <x:xf numFmtId="205" fontId="5" fillId="5" borderId="0" xfId="0" applyNumberFormat="1" applyFont="1" applyFill="1" applyBorder="1" applyAlignment="1">
      <x:alignment vertical="top" wrapText="1"/>
    </x:xf>
    <x:xf numFmtId="205" fontId="5" fillId="5" borderId="4" xfId="0" applyNumberFormat="1" applyFont="1" applyFill="1" applyBorder="1" applyAlignment="1">
      <x:alignment vertical="top" wrapText="1"/>
    </x:xf>
    <x:xf numFmtId="205" fontId="5" fillId="5" borderId="1" xfId="0" applyNumberFormat="1" applyFont="1" applyFill="1" applyBorder="1" applyAlignment="1">
      <x:alignment vertical="top" wrapText="1"/>
    </x:xf>
    <x:xf numFmtId="205" fontId="5" fillId="5" borderId="5" xfId="0" applyNumberFormat="1" applyFont="1" applyFill="1" applyBorder="1" applyAlignment="1">
      <x:alignment vertical="top" wrapText="1"/>
    </x:xf>
    <x:xf numFmtId="206" fontId="5" fillId="5" borderId="0" xfId="0" applyNumberFormat="1" applyFont="1" applyFill="1" applyBorder="1" applyAlignment="1">
      <x:alignment vertical="top" wrapText="1"/>
    </x:xf>
    <x:xf numFmtId="206" fontId="5" fillId="5" borderId="4" xfId="0" applyNumberFormat="1" applyFont="1" applyFill="1" applyBorder="1" applyAlignment="1">
      <x:alignment vertical="top" wrapText="1"/>
    </x:xf>
    <x:xf numFmtId="206" fontId="5" fillId="5" borderId="1" xfId="0" applyNumberFormat="1" applyFont="1" applyFill="1" applyBorder="1" applyAlignment="1">
      <x:alignment vertical="top" wrapText="1"/>
    </x:xf>
    <x:xf numFmtId="206" fontId="5" fillId="5" borderId="5" xfId="0" applyNumberFormat="1" applyFont="1" applyFill="1" applyBorder="1" applyAlignment="1">
      <x:alignment vertical="top" wrapText="1"/>
    </x:xf>
    <x:xf numFmtId="205" fontId="6" fillId="5" borderId="0" xfId="0" applyNumberFormat="1" applyFont="1" applyFill="1" applyBorder="1" applyAlignment="1">
      <x:alignment vertical="top" wrapText="1"/>
    </x:xf>
    <x:xf numFmtId="205" fontId="6" fillId="5" borderId="4" xfId="0" applyNumberFormat="1" applyFont="1" applyFill="1" applyBorder="1" applyAlignment="1">
      <x:alignment vertical="top" wrapText="1"/>
    </x:xf>
    <x:xf numFmtId="205" fontId="6" fillId="5" borderId="1" xfId="0" applyNumberFormat="1" applyFont="1" applyFill="1" applyBorder="1" applyAlignment="1">
      <x:alignment vertical="top" wrapText="1"/>
    </x:xf>
    <x:xf numFmtId="205" fontId="6" fillId="5" borderId="5" xfId="0" applyNumberFormat="1" applyFont="1" applyFill="1" applyBorder="1" applyAlignment="1">
      <x:alignment vertical="top" wrapText="1"/>
    </x:xf>
    <x:xf numFmtId="206" fontId="6" fillId="5" borderId="0" xfId="0" applyNumberFormat="1" applyFont="1" applyFill="1" applyBorder="1" applyAlignment="1">
      <x:alignment vertical="top" wrapText="1"/>
    </x:xf>
    <x:xf numFmtId="206" fontId="6" fillId="5" borderId="1" xfId="0" applyNumberFormat="1" applyFont="1" applyFill="1" applyBorder="1" applyAlignment="1">
      <x:alignment vertical="top" wrapText="1"/>
    </x:xf>
    <x:xf numFmtId="207" fontId="6" fillId="5" borderId="0" xfId="0" applyNumberFormat="1" applyFont="1" applyFill="1" applyBorder="1" applyAlignment="1">
      <x:alignment vertical="top" wrapText="1"/>
    </x:xf>
    <x:xf numFmtId="207" fontId="6" fillId="5" borderId="1" xfId="0" applyNumberFormat="1" applyFont="1" applyFill="1" applyBorder="1" applyAlignment="1">
      <x:alignment vertical="top" wrapText="1"/>
    </x:xf>
    <x:xf numFmtId="202" fontId="7" fillId="5" borderId="4" xfId="0" applyNumberFormat="1" applyFont="1" applyFill="1" applyBorder="1" applyAlignment="1">
      <x:alignment vertical="top" wrapText="1"/>
    </x:xf>
    <x:xf numFmtId="202" fontId="7" fillId="5" borderId="5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204" fontId="8" fillId="5" borderId="4" xfId="0" applyNumberFormat="1" applyFont="1" applyFill="1" applyBorder="1" applyAlignment="1">
      <x:alignment vertical="top" wrapText="1"/>
    </x:xf>
    <x:xf numFmtId="204" fontId="8" fillId="5" borderId="5" xfId="0" applyNumberFormat="1" applyFont="1" applyFill="1" applyBorder="1" applyAlignment="1">
      <x:alignment vertical="top" wrapText="1"/>
    </x:xf>
    <x:xf numFmtId="206" fontId="6" fillId="5" borderId="4" xfId="0" applyNumberFormat="1" applyFont="1" applyFill="1" applyBorder="1" applyAlignment="1">
      <x:alignment vertical="top" wrapText="1"/>
    </x:xf>
    <x:xf numFmtId="206" fontId="6" fillId="5" borderId="5" xfId="0" applyNumberFormat="1" applyFont="1" applyFill="1" applyBorder="1" applyAlignment="1">
      <x:alignment vertical="top" wrapText="1"/>
    </x:xf>
    <x:xf numFmtId="207" fontId="6" fillId="5" borderId="4" xfId="0" applyNumberFormat="1" applyFont="1" applyFill="1" applyBorder="1" applyAlignment="1">
      <x:alignment vertical="top" wrapText="1"/>
    </x:xf>
    <x:xf numFmtId="207" fontId="6" fillId="5" borderId="5" xfId="0" applyNumberFormat="1" applyFont="1" applyFill="1" applyBorder="1" applyAlignment="1">
      <x:alignment vertical="top" wrapText="1"/>
    </x:xf>
    <x:xf numFmtId="208" fontId="6" fillId="5" borderId="0" xfId="0" applyNumberFormat="1" applyFont="1" applyFill="1" applyBorder="1" applyAlignment="1">
      <x:alignment vertical="top" wrapText="1"/>
    </x:xf>
    <x:xf numFmtId="208" fontId="6" fillId="5" borderId="4" xfId="0" applyNumberFormat="1" applyFont="1" applyFill="1" applyBorder="1" applyAlignment="1">
      <x:alignment vertical="top" wrapText="1"/>
    </x:xf>
    <x:xf numFmtId="208" fontId="6" fillId="5" borderId="1" xfId="0" applyNumberFormat="1" applyFont="1" applyFill="1" applyBorder="1" applyAlignment="1">
      <x:alignment vertical="top" wrapText="1"/>
    </x:xf>
    <x:xf numFmtId="208" fontId="6" fillId="5" borderId="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11" xfId="0" applyNumberFormat="1" applyFont="1" applyFill="1" applyBorder="1"/>
    <x:xf numFmtId="0" fontId="11" fillId="6" borderId="12" xfId="0" applyNumberFormat="1" applyFont="1" applyFill="1" applyBorder="1"/>
    <x:xf numFmtId="0" fontId="11" fillId="6" borderId="13" xfId="0" applyNumberFormat="1" applyFont="1" applyFill="1" applyBorder="1"/>
    <x:xf numFmtId="0" fontId="11" fillId="6" borderId="6" xfId="0" applyNumberFormat="1" applyFont="1" applyFill="1" applyBorder="1" applyAlignment="1">
      <x:alignment wrapText="1"/>
    </x:xf>
    <x:xf numFmtId="0" fontId="11" fillId="6" borderId="7" xfId="0" applyNumberFormat="1" applyFont="1" applyFill="1" applyBorder="1" applyAlignment="1">
      <x:alignment wrapText="1"/>
    </x:xf>
    <x:xf numFmtId="0" fontId="11" fillId="6" borderId="8" xfId="0" applyNumberFormat="1" applyFont="1" applyFill="1" applyBorder="1" applyAlignment="1">
      <x:alignment wrapText="1"/>
    </x:xf>
    <x:xf numFmtId="0" fontId="11" fillId="6" borderId="9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10" xfId="0" applyNumberFormat="1" applyFont="1" applyFill="1" applyBorder="1" applyAlignment="1">
      <x:alignment wrapText="1"/>
    </x:xf>
    <x:xf numFmtId="0" fontId="11" fillId="6" borderId="11" xfId="0" applyNumberFormat="1" applyFont="1" applyFill="1" applyBorder="1" applyAlignment="1">
      <x:alignment wrapText="1"/>
    </x:xf>
    <x:xf numFmtId="0" fontId="11" fillId="6" borderId="12" xfId="0" applyNumberFormat="1" applyFont="1" applyFill="1" applyBorder="1" applyAlignment="1">
      <x:alignment wrapText="1"/>
    </x:xf>
    <x:xf numFmtId="0" fontId="11" fillId="6" borderId="13" xfId="0" applyNumberFormat="1" applyFont="1" applyFill="1" applyBorder="1" applyAlignment="1">
      <x:alignment wrapText="1"/>
    </x:xf>
    <x:xf numFmtId="0" fontId="11" fillId="6" borderId="6" xfId="0" applyNumberFormat="1" applyFont="1" applyFill="1" applyBorder="1" applyAlignment="1">
      <x:alignment horizontal="center" wrapText="1"/>
    </x:xf>
    <x:xf numFmtId="0" fontId="11" fillId="6" borderId="7" xfId="0" applyNumberFormat="1" applyFont="1" applyFill="1" applyBorder="1" applyAlignment="1">
      <x:alignment horizontal="center" wrapText="1"/>
    </x:xf>
    <x:xf numFmtId="0" fontId="11" fillId="6" borderId="8" xfId="0" applyNumberFormat="1" applyFont="1" applyFill="1" applyBorder="1" applyAlignment="1">
      <x:alignment horizontal="center" wrapText="1"/>
    </x:xf>
    <x:xf numFmtId="0" fontId="11" fillId="6" borderId="9" xfId="0" applyNumberFormat="1" applyFont="1" applyFill="1" applyBorder="1" applyAlignment="1">
      <x:alignment horizontal="center" wrapText="1"/>
    </x:xf>
    <x:xf numFmtId="0" fontId="11" fillId="6" borderId="0" xfId="0" applyNumberFormat="1" applyFont="1" applyFill="1" applyBorder="1" applyAlignment="1">
      <x:alignment horizontal="center" wrapText="1"/>
    </x:xf>
    <x:xf numFmtId="0" fontId="11" fillId="6" borderId="10" xfId="0" applyNumberFormat="1" applyFont="1" applyFill="1" applyBorder="1" applyAlignment="1">
      <x:alignment horizontal="center" wrapText="1"/>
    </x:xf>
    <x:xf numFmtId="0" fontId="11" fillId="6" borderId="11" xfId="0" applyNumberFormat="1" applyFont="1" applyFill="1" applyBorder="1" applyAlignment="1">
      <x:alignment horizontal="center" wrapText="1"/>
    </x:xf>
    <x:xf numFmtId="0" fontId="11" fillId="6" borderId="12" xfId="0" applyNumberFormat="1" applyFont="1" applyFill="1" applyBorder="1" applyAlignment="1">
      <x:alignment horizontal="center" wrapText="1"/>
    </x:xf>
    <x:xf numFmtId="0" fontId="11" fillId="6" borderId="13" xfId="0" applyNumberFormat="1" applyFont="1" applyFill="1" applyBorder="1" applyAlignment="1">
      <x:alignment horizont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11" fillId="6" borderId="8" xfId="0" applyNumberFormat="1" applyFont="1" applyFill="1" applyBorder="1" applyAlignment="1">
      <x:alignment horizontal="center" vertical="center" wrapText="1"/>
    </x:xf>
    <x:xf numFmtId="0" fontId="11" fillId="6" borderId="9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10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0" fontId="11" fillId="6" borderId="12" xfId="0" applyNumberFormat="1" applyFont="1" applyFill="1" applyBorder="1" applyAlignment="1">
      <x:alignment horizontal="center" vertical="center" wrapText="1"/>
    </x:xf>
    <x:xf numFmtId="0" fontId="11" fillId="6" borderId="1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4" xfId="0" applyNumberFormat="1" applyFont="1" applyFill="1" applyBorder="1"/>
    <x:xf numFmtId="0" fontId="11" fillId="6" borderId="15" xfId="0" applyNumberFormat="1" applyFont="1" applyFill="1" applyBorder="1"/>
    <x:xf numFmtId="0" fontId="11" fillId="6" borderId="16" xfId="0" applyNumberFormat="1" applyFont="1" applyFill="1" applyBorder="1"/>
    <x:xf numFmtId="0" fontId="11" fillId="6" borderId="17" xfId="0" applyNumberFormat="1" applyFont="1" applyFill="1" applyBorder="1"/>
    <x:xf numFmtId="0" fontId="11" fillId="6" borderId="18" xfId="0" applyNumberFormat="1" applyFont="1" applyFill="1" applyBorder="1"/>
    <x:xf numFmtId="0" fontId="11" fillId="6" borderId="19" xfId="0" applyNumberFormat="1" applyFont="1" applyFill="1" applyBorder="1"/>
    <x:xf numFmtId="0" fontId="11" fillId="6" borderId="20" xfId="0" applyNumberFormat="1" applyFont="1" applyFill="1" applyBorder="1"/>
    <x:xf numFmtId="0" fontId="11" fillId="6" borderId="21" xfId="0" applyNumberFormat="1" applyFont="1" applyFill="1" applyBorder="1"/>
    <x:xf numFmtId="0" fontId="11" fillId="6" borderId="14" xfId="0" applyNumberFormat="1" applyFont="1" applyFill="1" applyBorder="1" applyAlignment="1">
      <x:alignment wrapText="1"/>
    </x:xf>
    <x:xf numFmtId="0" fontId="11" fillId="6" borderId="15" xfId="0" applyNumberFormat="1" applyFont="1" applyFill="1" applyBorder="1" applyAlignment="1">
      <x:alignment wrapText="1"/>
    </x:xf>
    <x:xf numFmtId="0" fontId="11" fillId="6" borderId="16" xfId="0" applyNumberFormat="1" applyFont="1" applyFill="1" applyBorder="1" applyAlignment="1">
      <x:alignment wrapText="1"/>
    </x:xf>
    <x:xf numFmtId="0" fontId="11" fillId="6" borderId="17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wrapText="1"/>
    </x:xf>
    <x:xf numFmtId="0" fontId="11" fillId="6" borderId="18" xfId="0" applyNumberFormat="1" applyFont="1" applyFill="1" applyBorder="1" applyAlignment="1">
      <x:alignment wrapText="1"/>
    </x:xf>
    <x:xf numFmtId="0" fontId="11" fillId="6" borderId="19" xfId="0" applyNumberFormat="1" applyFont="1" applyFill="1" applyBorder="1" applyAlignment="1">
      <x:alignment wrapText="1"/>
    </x:xf>
    <x:xf numFmtId="0" fontId="11" fillId="6" borderId="20" xfId="0" applyNumberFormat="1" applyFont="1" applyFill="1" applyBorder="1" applyAlignment="1">
      <x:alignment wrapText="1"/>
    </x:xf>
    <x:xf numFmtId="0" fontId="11" fillId="6" borderId="21" xfId="0" applyNumberFormat="1" applyFont="1" applyFill="1" applyBorder="1" applyAlignment="1">
      <x:alignment wrapText="1"/>
    </x:xf>
    <x:xf numFmtId="0" fontId="11" fillId="6" borderId="14" xfId="0" applyNumberFormat="1" applyFont="1" applyFill="1" applyBorder="1" applyAlignment="1">
      <x:alignment horizontal="center" wrapText="1"/>
    </x:xf>
    <x:xf numFmtId="0" fontId="11" fillId="6" borderId="15" xfId="0" applyNumberFormat="1" applyFont="1" applyFill="1" applyBorder="1" applyAlignment="1">
      <x:alignment horizontal="center" wrapText="1"/>
    </x:xf>
    <x:xf numFmtId="0" fontId="11" fillId="6" borderId="16" xfId="0" applyNumberFormat="1" applyFont="1" applyFill="1" applyBorder="1" applyAlignment="1">
      <x:alignment horizontal="center" wrapText="1"/>
    </x:xf>
    <x:xf numFmtId="0" fontId="11" fillId="6" borderId="17" xfId="0" applyNumberFormat="1" applyFont="1" applyFill="1" applyBorder="1" applyAlignment="1">
      <x:alignment horizontal="center" wrapText="1"/>
    </x:xf>
    <x:xf numFmtId="0" fontId="11" fillId="6" borderId="1" xfId="0" applyNumberFormat="1" applyFont="1" applyFill="1" applyBorder="1" applyAlignment="1">
      <x:alignment horizontal="center" wrapText="1"/>
    </x:xf>
    <x:xf numFmtId="0" fontId="11" fillId="6" borderId="18" xfId="0" applyNumberFormat="1" applyFont="1" applyFill="1" applyBorder="1" applyAlignment="1">
      <x:alignment horizontal="center" wrapText="1"/>
    </x:xf>
    <x:xf numFmtId="0" fontId="11" fillId="6" borderId="19" xfId="0" applyNumberFormat="1" applyFont="1" applyFill="1" applyBorder="1" applyAlignment="1">
      <x:alignment horizontal="center" wrapText="1"/>
    </x:xf>
    <x:xf numFmtId="0" fontId="11" fillId="6" borderId="20" xfId="0" applyNumberFormat="1" applyFont="1" applyFill="1" applyBorder="1" applyAlignment="1">
      <x:alignment horizontal="center" wrapText="1"/>
    </x:xf>
    <x:xf numFmtId="0" fontId="11" fillId="6" borderId="21" xfId="0" applyNumberFormat="1" applyFont="1" applyFill="1" applyBorder="1" applyAlignment="1">
      <x:alignment horizontal="center" wrapText="1"/>
    </x:xf>
    <x:xf numFmtId="0" fontId="11" fillId="6" borderId="14" xfId="0" applyNumberFormat="1" applyFont="1" applyFill="1" applyBorder="1" applyAlignment="1">
      <x:alignment horizontal="center" vertical="center" wrapText="1"/>
    </x:xf>
    <x:xf numFmtId="0" fontId="11" fillId="6" borderId="15" xfId="0" applyNumberFormat="1" applyFont="1" applyFill="1" applyBorder="1" applyAlignment="1">
      <x:alignment horizontal="center" vertical="center" wrapText="1"/>
    </x:xf>
    <x:xf numFmtId="0" fontId="11" fillId="6" borderId="16" xfId="0" applyNumberFormat="1" applyFont="1" applyFill="1" applyBorder="1" applyAlignment="1">
      <x:alignment horizontal="center" vertical="center" wrapText="1"/>
    </x:xf>
    <x:xf numFmtId="0" fontId="11" fillId="6" borderId="17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center" vertical="center" wrapText="1"/>
    </x:xf>
    <x:xf numFmtId="0" fontId="11" fillId="6" borderId="19" xfId="0" applyNumberFormat="1" applyFont="1" applyFill="1" applyBorder="1" applyAlignment="1">
      <x:alignment horizontal="center"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204" fontId="7" fillId="5" borderId="0" xfId="0" applyNumberFormat="1" applyFont="1" applyFill="1" applyBorder="1" applyAlignment="1">
      <x:alignment vertical="top" wrapText="1"/>
    </x:xf>
    <x:xf numFmtId="204" fontId="7" fillId="5" borderId="4" xfId="0" applyNumberFormat="1" applyFont="1" applyFill="1" applyBorder="1" applyAlignment="1">
      <x:alignment vertical="top" wrapText="1"/>
    </x:xf>
    <x:xf numFmtId="204" fontId="7" fillId="5" borderId="1" xfId="0" applyNumberFormat="1" applyFont="1" applyFill="1" applyBorder="1" applyAlignment="1">
      <x:alignment vertical="top" wrapText="1"/>
    </x:xf>
    <x:xf numFmtId="204" fontId="7" fillId="5" borderId="5" xfId="0" applyNumberFormat="1" applyFont="1" applyFill="1" applyBorder="1" applyAlignment="1">
      <x:alignment vertical="top" wrapText="1"/>
    </x:xf>
    <x:xf numFmtId="208" fontId="7" fillId="5" borderId="0" xfId="0" applyNumberFormat="1" applyFont="1" applyFill="1" applyBorder="1" applyAlignment="1">
      <x:alignment vertical="top" wrapText="1"/>
    </x:xf>
    <x:xf numFmtId="208" fontId="7" fillId="5" borderId="4" xfId="0" applyNumberFormat="1" applyFont="1" applyFill="1" applyBorder="1" applyAlignment="1">
      <x:alignment vertical="top" wrapText="1"/>
    </x:xf>
    <x:xf numFmtId="208" fontId="7" fillId="5" borderId="1" xfId="0" applyNumberFormat="1" applyFont="1" applyFill="1" applyBorder="1" applyAlignment="1">
      <x:alignment vertical="top" wrapText="1"/>
    </x:xf>
    <x:xf numFmtId="208" fontId="7" fillId="5" borderId="5" xfId="0" applyNumberFormat="1" applyFont="1" applyFill="1" applyBorder="1" applyAlignment="1">
      <x:alignment vertical="top" wrapText="1"/>
    </x:xf>
    <x:xf numFmtId="206" fontId="7" fillId="5" borderId="0" xfId="0" applyNumberFormat="1" applyFont="1" applyFill="1" applyBorder="1" applyAlignment="1">
      <x:alignment vertical="top" wrapText="1"/>
    </x:xf>
    <x:xf numFmtId="206" fontId="7" fillId="5" borderId="4" xfId="0" applyNumberFormat="1" applyFont="1" applyFill="1" applyBorder="1" applyAlignment="1">
      <x:alignment vertical="top" wrapText="1"/>
    </x:xf>
    <x:xf numFmtId="206" fontId="7" fillId="5" borderId="1" xfId="0" applyNumberFormat="1" applyFont="1" applyFill="1" applyBorder="1" applyAlignment="1">
      <x:alignment vertical="top" wrapText="1"/>
    </x:xf>
    <x:xf numFmtId="206" fontId="7" fillId="5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204" fontId="8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201" fontId="14" fillId="0" borderId="0" xfId="0" applyNumberFormat="1" applyFont="1" applyFill="1" applyBorder="1" applyAlignment="1">
      <x:alignment vertical="top" wrapText="1"/>
    </x:xf>
    <x:xf numFmtId="209" fontId="14" fillId="0" borderId="0" xfId="0" applyNumberFormat="1" applyFont="1" applyFill="1" applyBorder="1" applyAlignment="1">
      <x:alignment vertical="top" wrapText="1"/>
    </x:xf>
    <x:xf numFmtId="210" fontId="14" fillId="0" borderId="0" xfId="0" applyNumberFormat="1" applyFont="1" applyFill="1" applyBorder="1" applyAlignment="1">
      <x:alignment vertical="top" wrapText="1"/>
    </x:xf>
    <x:xf numFmtId="0" fontId="3" fillId="11" borderId="22" xfId="0" applyNumberFormat="1" applyFont="1" applyFill="1" applyBorder="1" applyAlignment="1">
      <x:alignment horizontal="center" vertical="center" wrapText="1"/>
    </x:xf>
    <x:xf numFmtId="0" fontId="3" fillId="11" borderId="23" xfId="0" applyNumberFormat="1" applyFont="1" applyFill="1" applyBorder="1" applyAlignment="1">
      <x:alignment horizontal="center" vertical="center" wrapText="1"/>
    </x:xf>
    <x:xf numFmtId="0" fontId="3" fillId="11" borderId="24" xfId="0" applyNumberFormat="1" applyFont="1" applyFill="1" applyBorder="1" applyAlignment="1">
      <x:alignment horizontal="center" vertical="center" wrapText="1"/>
    </x:xf>
    <x:xf numFmtId="0" fontId="13" fillId="0" borderId="25" xfId="0" applyNumberFormat="1" applyFont="1" applyFill="1" applyBorder="1" applyAlignment="1">
      <x:alignment vertical="top" wrapText="1"/>
    </x:xf>
    <x:xf numFmtId="201" fontId="14" fillId="0" borderId="26" xfId="0" applyNumberFormat="1" applyFont="1" applyFill="1" applyBorder="1" applyAlignment="1">
      <x:alignment vertical="top" wrapText="1"/>
    </x:xf>
    <x:xf numFmtId="0" fontId="13" fillId="0" borderId="26" xfId="0" applyNumberFormat="1" applyFont="1" applyFill="1" applyBorder="1" applyAlignment="1">
      <x:alignment vertical="top" wrapText="1"/>
    </x:xf>
    <x:xf numFmtId="0" fontId="13" fillId="0" borderId="27" xfId="0" applyNumberFormat="1" applyFont="1" applyFill="1" applyBorder="1" applyAlignment="1">
      <x:alignment vertical="top" wrapText="1"/>
    </x:xf>
    <x:xf numFmtId="209" fontId="14" fillId="0" borderId="26" xfId="0" applyNumberFormat="1" applyFont="1" applyFill="1" applyBorder="1" applyAlignment="1">
      <x:alignment vertical="top" wrapText="1"/>
    </x:xf>
    <x:xf numFmtId="0" fontId="13" fillId="0" borderId="28" xfId="0" applyNumberFormat="1" applyFont="1" applyFill="1" applyBorder="1" applyAlignment="1">
      <x:alignment vertical="top" wrapText="1"/>
    </x:xf>
    <x:xf numFmtId="210" fontId="14" fillId="0" borderId="29" xfId="0" applyNumberFormat="1" applyFont="1" applyFill="1" applyBorder="1" applyAlignment="1">
      <x:alignment vertical="top" wrapText="1"/>
    </x:xf>
    <x:xf numFmtId="0" fontId="13" fillId="0" borderId="29" xfId="0" applyNumberFormat="1" applyFont="1" applyFill="1" applyBorder="1" applyAlignment="1">
      <x:alignment vertical="top" wrapText="1"/>
    </x:xf>
    <x:xf numFmtId="0" fontId="13" fillId="0" borderId="3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11" fontId="7" fillId="0" borderId="0" xfId="0" applyNumberFormat="1" applyFont="1" applyFill="1" applyBorder="1" applyAlignment="1">
      <x:alignment vertical="top" wrapText="1"/>
    </x:xf>
    <x:xf numFmtId="212" fontId="7" fillId="0" borderId="0" xfId="0" applyNumberFormat="1" applyFont="1" applyFill="1" applyBorder="1" applyAlignment="1">
      <x:alignment vertical="top" wrapText="1"/>
    </x:xf>
    <x:xf numFmtId="209" fontId="7" fillId="0" borderId="0" xfId="0" applyNumberFormat="1" applyFont="1" applyFill="1" applyBorder="1" applyAlignment="1">
      <x:alignment vertical="top" wrapText="1"/>
    </x:xf>
    <x:xf numFmtId="0" fontId="4" fillId="11" borderId="22" xfId="0" applyNumberFormat="1" applyFont="1" applyFill="1" applyBorder="1" applyAlignment="1">
      <x:alignment horizontal="center" vertical="center" wrapText="1"/>
    </x:xf>
    <x:xf numFmtId="0" fontId="4" fillId="11" borderId="23" xfId="0" applyNumberFormat="1" applyFont="1" applyFill="1" applyBorder="1" applyAlignment="1">
      <x:alignment horizontal="center" vertical="center" wrapText="1"/>
    </x:xf>
    <x:xf numFmtId="0" fontId="4" fillId="11" borderId="24" xfId="0" applyNumberFormat="1" applyFont="1" applyFill="1" applyBorder="1" applyAlignment="1">
      <x:alignment horizontal="center" vertical="center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201" fontId="7" fillId="0" borderId="26" xfId="0" applyNumberFormat="1" applyFont="1" applyFill="1" applyBorder="1" applyAlignment="1">
      <x:alignment vertical="top" wrapText="1"/>
    </x:xf>
    <x:xf numFmtId="200" fontId="7" fillId="0" borderId="26" xfId="0" applyNumberFormat="1" applyFont="1" applyFill="1" applyBorder="1" applyAlignment="1">
      <x:alignment vertical="top" wrapText="1"/>
    </x:xf>
    <x:xf numFmtId="211" fontId="7" fillId="0" borderId="26" xfId="0" applyNumberFormat="1" applyFont="1" applyFill="1" applyBorder="1" applyAlignment="1">
      <x:alignment vertical="top" wrapText="1"/>
    </x:xf>
    <x:xf numFmtId="212" fontId="7" fillId="0" borderId="26" xfId="0" applyNumberFormat="1" applyFont="1" applyFill="1" applyBorder="1" applyAlignment="1">
      <x:alignment vertical="top" wrapText="1"/>
    </x:xf>
    <x:xf numFmtId="209" fontId="7" fillId="0" borderId="26" xfId="0" applyNumberFormat="1" applyFont="1" applyFill="1" applyBorder="1" applyAlignment="1">
      <x:alignment vertical="top" wrapText="1"/>
    </x:xf>
    <x:xf numFmtId="0" fontId="15" fillId="0" borderId="26" xfId="0" applyNumberFormat="1" applyFont="1" applyFill="1" applyBorder="1" applyAlignment="1">
      <x:alignment vertical="top" wrapText="1"/>
    </x:xf>
    <x:xf numFmtId="0" fontId="15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201" fontId="7" fillId="0" borderId="29" xfId="0" applyNumberFormat="1" applyFont="1" applyFill="1" applyBorder="1" applyAlignment="1">
      <x:alignment vertical="top" wrapText="1"/>
    </x:xf>
    <x:xf numFmtId="200" fontId="7" fillId="0" borderId="29" xfId="0" applyNumberFormat="1" applyFont="1" applyFill="1" applyBorder="1" applyAlignment="1">
      <x:alignment vertical="top" wrapText="1"/>
    </x:xf>
    <x:xf numFmtId="211" fontId="7" fillId="0" borderId="29" xfId="0" applyNumberFormat="1" applyFont="1" applyFill="1" applyBorder="1" applyAlignment="1">
      <x:alignment vertical="top" wrapText="1"/>
    </x:xf>
    <x:xf numFmtId="212" fontId="7" fillId="0" borderId="29" xfId="0" applyNumberFormat="1" applyFont="1" applyFill="1" applyBorder="1" applyAlignment="1">
      <x:alignment vertical="top" wrapText="1"/>
    </x:xf>
    <x:xf numFmtId="209" fontId="7" fillId="0" borderId="29" xfId="0" applyNumberFormat="1" applyFont="1" applyFill="1" applyBorder="1" applyAlignment="1">
      <x:alignment vertical="top" wrapText="1"/>
    </x:xf>
    <x:xf numFmtId="0" fontId="15" fillId="0" borderId="29" xfId="0" applyNumberFormat="1" applyFont="1" applyFill="1" applyBorder="1" applyAlignment="1">
      <x:alignment vertical="top" wrapText="1"/>
    </x:xf>
    <x:xf numFmtId="0" fontId="15" fillId="0" borderId="30" xfId="0" applyNumberFormat="1" applyFont="1" applyFill="1" applyBorder="1" applyAlignment="1">
      <x:alignment vertical="top" wrapText="1"/>
    </x:xf>
    <x:xf numFmtId="0" fontId="7" fillId="12" borderId="25" xfId="0" applyNumberFormat="1" applyFont="1" applyFill="1" applyBorder="1" applyAlignment="1">
      <x:alignment vertical="top" wrapText="1"/>
    </x:xf>
    <x:xf numFmtId="0" fontId="7" fillId="12" borderId="26" xfId="0" applyNumberFormat="1" applyFont="1" applyFill="1" applyBorder="1" applyAlignment="1">
      <x:alignment vertical="top" wrapText="1"/>
    </x:xf>
    <x:xf numFmtId="201" fontId="7" fillId="12" borderId="26" xfId="0" applyNumberFormat="1" applyFont="1" applyFill="1" applyBorder="1" applyAlignment="1">
      <x:alignment vertical="top" wrapText="1"/>
    </x:xf>
    <x:xf numFmtId="200" fontId="7" fillId="12" borderId="26" xfId="0" applyNumberFormat="1" applyFont="1" applyFill="1" applyBorder="1" applyAlignment="1">
      <x:alignment vertical="top" wrapText="1"/>
    </x:xf>
    <x:xf numFmtId="211" fontId="7" fillId="12" borderId="26" xfId="0" applyNumberFormat="1" applyFont="1" applyFill="1" applyBorder="1" applyAlignment="1">
      <x:alignment vertical="top" wrapText="1"/>
    </x:xf>
    <x:xf numFmtId="212" fontId="7" fillId="12" borderId="26" xfId="0" applyNumberFormat="1" applyFont="1" applyFill="1" applyBorder="1" applyAlignment="1">
      <x:alignment vertical="top" wrapText="1"/>
    </x:xf>
    <x:xf numFmtId="209" fontId="7" fillId="12" borderId="26" xfId="0" applyNumberFormat="1" applyFont="1" applyFill="1" applyBorder="1" applyAlignment="1">
      <x:alignment vertical="top" wrapText="1"/>
    </x:xf>
    <x:xf numFmtId="0" fontId="15" fillId="12" borderId="26" xfId="0" applyNumberFormat="1" applyFont="1" applyFill="1" applyBorder="1" applyAlignment="1">
      <x:alignment vertical="top" wrapText="1"/>
    </x:xf>
    <x:xf numFmtId="0" fontId="15" fillId="12" borderId="27" xfId="0" applyNumberFormat="1" applyFont="1" applyFill="1" applyBorder="1" applyAlignment="1">
      <x:alignment vertical="top" wrapText="1"/>
    </x:xf>
    <x:xf numFmtId="0" fontId="7" fillId="12" borderId="28" xfId="0" applyNumberFormat="1" applyFont="1" applyFill="1" applyBorder="1" applyAlignment="1">
      <x:alignment vertical="top" wrapText="1"/>
    </x:xf>
    <x:xf numFmtId="0" fontId="7" fillId="12" borderId="29" xfId="0" applyNumberFormat="1" applyFont="1" applyFill="1" applyBorder="1" applyAlignment="1">
      <x:alignment vertical="top" wrapText="1"/>
    </x:xf>
    <x:xf numFmtId="201" fontId="7" fillId="12" borderId="29" xfId="0" applyNumberFormat="1" applyFont="1" applyFill="1" applyBorder="1" applyAlignment="1">
      <x:alignment vertical="top" wrapText="1"/>
    </x:xf>
    <x:xf numFmtId="200" fontId="7" fillId="12" borderId="29" xfId="0" applyNumberFormat="1" applyFont="1" applyFill="1" applyBorder="1" applyAlignment="1">
      <x:alignment vertical="top" wrapText="1"/>
    </x:xf>
    <x:xf numFmtId="211" fontId="7" fillId="12" borderId="29" xfId="0" applyNumberFormat="1" applyFont="1" applyFill="1" applyBorder="1" applyAlignment="1">
      <x:alignment vertical="top" wrapText="1"/>
    </x:xf>
    <x:xf numFmtId="212" fontId="7" fillId="12" borderId="29" xfId="0" applyNumberFormat="1" applyFont="1" applyFill="1" applyBorder="1" applyAlignment="1">
      <x:alignment vertical="top" wrapText="1"/>
    </x:xf>
    <x:xf numFmtId="209" fontId="7" fillId="12" borderId="29" xfId="0" applyNumberFormat="1" applyFont="1" applyFill="1" applyBorder="1" applyAlignment="1">
      <x:alignment vertical="top" wrapText="1"/>
    </x:xf>
    <x:xf numFmtId="0" fontId="15" fillId="12" borderId="29" xfId="0" applyNumberFormat="1" applyFont="1" applyFill="1" applyBorder="1" applyAlignment="1">
      <x:alignment vertical="top" wrapText="1"/>
    </x:xf>
    <x:xf numFmtId="0" fontId="15" fillId="12" borderId="3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horizontal="center" wrapText="1"/>
    </x:xf>
    <x:xf numFmtId="0" fontId="17" fillId="11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19" fillId="0" borderId="0" xfId="0" applyNumberFormat="1" applyFont="1" applyFill="1" applyBorder="1" applyAlignment="1">
      <x:alignment vertical="top" wrapText="1"/>
    </x:xf>
    <x:xf numFmtId="213" fontId="19" fillId="0" borderId="0" xfId="0" applyNumberFormat="1" applyFont="1" applyFill="1" applyBorder="1" applyAlignment="1">
      <x:alignment vertical="top" wrapText="1"/>
    </x:xf>
    <x:xf numFmtId="203" fontId="19" fillId="0" borderId="0" xfId="0" applyNumberFormat="1" applyFont="1" applyFill="1" applyBorder="1" applyAlignment="1">
      <x:alignment vertical="top" wrapText="1"/>
    </x:xf>
    <x:xf numFmtId="200" fontId="19" fillId="0" borderId="0" xfId="0" applyNumberFormat="1" applyFont="1" applyFill="1" applyBorder="1" applyAlignment="1">
      <x:alignment vertical="top" wrapText="1"/>
    </x:xf>
    <x:xf numFmtId="0" fontId="17" fillId="11" borderId="22" xfId="0" applyNumberFormat="1" applyFont="1" applyFill="1" applyBorder="1" applyAlignment="1">
      <x:alignment horizontal="center" vertical="center" wrapText="1"/>
    </x:xf>
    <x:xf numFmtId="0" fontId="17" fillId="11" borderId="23" xfId="0" applyNumberFormat="1" applyFont="1" applyFill="1" applyBorder="1" applyAlignment="1">
      <x:alignment horizontal="center" vertical="center" wrapText="1"/>
    </x:xf>
    <x:xf numFmtId="0" fontId="17" fillId="11" borderId="24" xfId="0" applyNumberFormat="1" applyFont="1" applyFill="1" applyBorder="1" applyAlignment="1">
      <x:alignment horizontal="center" vertical="center" wrapText="1"/>
    </x:xf>
    <x:xf numFmtId="0" fontId="18" fillId="0" borderId="25" xfId="0" applyNumberFormat="1" applyFont="1" applyFill="1" applyBorder="1" applyAlignment="1">
      <x:alignment vertical="top" wrapText="1"/>
    </x:xf>
    <x:xf numFmtId="0" fontId="18" fillId="0" borderId="26" xfId="0" applyNumberFormat="1" applyFont="1" applyFill="1" applyBorder="1" applyAlignment="1">
      <x:alignment vertical="top" wrapText="1"/>
    </x:xf>
    <x:xf numFmtId="213" fontId="19" fillId="0" borderId="26" xfId="0" applyNumberFormat="1" applyFont="1" applyFill="1" applyBorder="1" applyAlignment="1">
      <x:alignment vertical="top" wrapText="1"/>
    </x:xf>
    <x:xf numFmtId="0" fontId="19" fillId="0" borderId="26" xfId="0" applyNumberFormat="1" applyFont="1" applyFill="1" applyBorder="1" applyAlignment="1">
      <x:alignment vertical="top" wrapText="1"/>
    </x:xf>
    <x:xf numFmtId="203" fontId="19" fillId="0" borderId="26" xfId="0" applyNumberFormat="1" applyFont="1" applyFill="1" applyBorder="1" applyAlignment="1">
      <x:alignment vertical="top" wrapText="1"/>
    </x:xf>
    <x:xf numFmtId="200" fontId="19" fillId="0" borderId="26" xfId="0" applyNumberFormat="1" applyFont="1" applyFill="1" applyBorder="1" applyAlignment="1">
      <x:alignment vertical="top" wrapText="1"/>
    </x:xf>
    <x:xf numFmtId="0" fontId="18" fillId="0" borderId="27" xfId="0" applyNumberFormat="1" applyFont="1" applyFill="1" applyBorder="1" applyAlignment="1">
      <x:alignment vertical="top" wrapText="1"/>
    </x:xf>
    <x:xf numFmtId="0" fontId="18" fillId="0" borderId="28" xfId="0" applyNumberFormat="1" applyFont="1" applyFill="1" applyBorder="1" applyAlignment="1">
      <x:alignment vertical="top" wrapText="1"/>
    </x:xf>
    <x:xf numFmtId="0" fontId="18" fillId="0" borderId="29" xfId="0" applyNumberFormat="1" applyFont="1" applyFill="1" applyBorder="1" applyAlignment="1">
      <x:alignment vertical="top" wrapText="1"/>
    </x:xf>
    <x:xf numFmtId="213" fontId="19" fillId="0" borderId="29" xfId="0" applyNumberFormat="1" applyFont="1" applyFill="1" applyBorder="1" applyAlignment="1">
      <x:alignment vertical="top" wrapText="1"/>
    </x:xf>
    <x:xf numFmtId="0" fontId="19" fillId="0" borderId="29" xfId="0" applyNumberFormat="1" applyFont="1" applyFill="1" applyBorder="1" applyAlignment="1">
      <x:alignment vertical="top" wrapText="1"/>
    </x:xf>
    <x:xf numFmtId="203" fontId="19" fillId="0" borderId="29" xfId="0" applyNumberFormat="1" applyFont="1" applyFill="1" applyBorder="1" applyAlignment="1">
      <x:alignment vertical="top" wrapText="1"/>
    </x:xf>
    <x:xf numFmtId="200" fontId="19" fillId="0" borderId="29" xfId="0" applyNumberFormat="1" applyFont="1" applyFill="1" applyBorder="1" applyAlignment="1">
      <x:alignment vertical="top" wrapText="1"/>
    </x:xf>
    <x:xf numFmtId="0" fontId="18" fillId="0" borderId="30" xfId="0" applyNumberFormat="1" applyFont="1" applyFill="1" applyBorder="1" applyAlignment="1">
      <x:alignment vertical="top" wrapText="1"/>
    </x:xf>
    <x:xf numFmtId="0" fontId="18" fillId="12" borderId="25" xfId="0" applyNumberFormat="1" applyFont="1" applyFill="1" applyBorder="1" applyAlignment="1">
      <x:alignment vertical="top" wrapText="1"/>
    </x:xf>
    <x:xf numFmtId="0" fontId="18" fillId="12" borderId="26" xfId="0" applyNumberFormat="1" applyFont="1" applyFill="1" applyBorder="1" applyAlignment="1">
      <x:alignment vertical="top" wrapText="1"/>
    </x:xf>
    <x:xf numFmtId="213" fontId="19" fillId="12" borderId="26" xfId="0" applyNumberFormat="1" applyFont="1" applyFill="1" applyBorder="1" applyAlignment="1">
      <x:alignment vertical="top" wrapText="1"/>
    </x:xf>
    <x:xf numFmtId="0" fontId="19" fillId="12" borderId="26" xfId="0" applyNumberFormat="1" applyFont="1" applyFill="1" applyBorder="1" applyAlignment="1">
      <x:alignment vertical="top" wrapText="1"/>
    </x:xf>
    <x:xf numFmtId="203" fontId="19" fillId="12" borderId="26" xfId="0" applyNumberFormat="1" applyFont="1" applyFill="1" applyBorder="1" applyAlignment="1">
      <x:alignment vertical="top" wrapText="1"/>
    </x:xf>
    <x:xf numFmtId="200" fontId="19" fillId="12" borderId="26" xfId="0" applyNumberFormat="1" applyFont="1" applyFill="1" applyBorder="1" applyAlignment="1">
      <x:alignment vertical="top" wrapText="1"/>
    </x:xf>
    <x:xf numFmtId="0" fontId="18" fillId="12" borderId="27" xfId="0" applyNumberFormat="1" applyFont="1" applyFill="1" applyBorder="1" applyAlignment="1">
      <x:alignment vertical="top" wrapText="1"/>
    </x:xf>
    <x:xf numFmtId="0" fontId="18" fillId="12" borderId="28" xfId="0" applyNumberFormat="1" applyFont="1" applyFill="1" applyBorder="1" applyAlignment="1">
      <x:alignment vertical="top" wrapText="1"/>
    </x:xf>
    <x:xf numFmtId="0" fontId="18" fillId="12" borderId="29" xfId="0" applyNumberFormat="1" applyFont="1" applyFill="1" applyBorder="1" applyAlignment="1">
      <x:alignment vertical="top" wrapText="1"/>
    </x:xf>
    <x:xf numFmtId="213" fontId="19" fillId="12" borderId="29" xfId="0" applyNumberFormat="1" applyFont="1" applyFill="1" applyBorder="1" applyAlignment="1">
      <x:alignment vertical="top" wrapText="1"/>
    </x:xf>
    <x:xf numFmtId="0" fontId="19" fillId="12" borderId="29" xfId="0" applyNumberFormat="1" applyFont="1" applyFill="1" applyBorder="1" applyAlignment="1">
      <x:alignment vertical="top" wrapText="1"/>
    </x:xf>
    <x:xf numFmtId="203" fontId="19" fillId="12" borderId="29" xfId="0" applyNumberFormat="1" applyFont="1" applyFill="1" applyBorder="1" applyAlignment="1">
      <x:alignment vertical="top" wrapText="1"/>
    </x:xf>
    <x:xf numFmtId="200" fontId="19" fillId="12" borderId="29" xfId="0" applyNumberFormat="1" applyFont="1" applyFill="1" applyBorder="1" applyAlignment="1">
      <x:alignment vertical="top" wrapText="1"/>
    </x:xf>
    <x:xf numFmtId="0" fontId="18" fillId="12" borderId="3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top" wrapText="1"/>
    </x:xf>
    <x:xf numFmtId="214" fontId="20" fillId="0" borderId="0" xfId="0" applyNumberFormat="1" applyFont="1" applyFill="1" applyBorder="1" applyAlignment="1">
      <x:alignment vertical="top" wrapText="1"/>
    </x:xf>
    <x:xf numFmtId="200" fontId="20" fillId="0" borderId="0" xfId="0" applyNumberFormat="1" applyFont="1" applyFill="1" applyBorder="1" applyAlignment="1">
      <x:alignment vertical="top" wrapText="1"/>
    </x:xf>
    <x:xf numFmtId="211" fontId="20" fillId="0" borderId="0" xfId="0" applyNumberFormat="1" applyFont="1" applyFill="1" applyBorder="1" applyAlignment="1">
      <x:alignment vertical="top" wrapText="1"/>
    </x:xf>
    <x:xf numFmtId="212" fontId="20" fillId="0" borderId="0" xfId="0" applyNumberFormat="1" applyFont="1" applyFill="1" applyBorder="1" applyAlignment="1">
      <x:alignment vertical="top" wrapText="1"/>
    </x:xf>
    <x:xf numFmtId="209" fontId="20" fillId="0" borderId="0" xfId="0" applyNumberFormat="1" applyFont="1" applyFill="1" applyBorder="1" applyAlignment="1">
      <x:alignment vertical="top" wrapText="1"/>
    </x:xf>
    <x:xf numFmtId="214" fontId="20" fillId="0" borderId="25" xfId="0" applyNumberFormat="1" applyFont="1" applyFill="1" applyBorder="1" applyAlignment="1">
      <x:alignment vertical="top" wrapText="1"/>
    </x:xf>
    <x:xf numFmtId="200" fontId="20" fillId="0" borderId="26" xfId="0" applyNumberFormat="1" applyFont="1" applyFill="1" applyBorder="1" applyAlignment="1">
      <x:alignment vertical="top" wrapText="1"/>
    </x:xf>
    <x:xf numFmtId="211" fontId="20" fillId="0" borderId="26" xfId="0" applyNumberFormat="1" applyFont="1" applyFill="1" applyBorder="1" applyAlignment="1">
      <x:alignment vertical="top" wrapText="1"/>
    </x:xf>
    <x:xf numFmtId="212" fontId="20" fillId="0" borderId="26" xfId="0" applyNumberFormat="1" applyFont="1" applyFill="1" applyBorder="1" applyAlignment="1">
      <x:alignment vertical="top" wrapText="1"/>
    </x:xf>
    <x:xf numFmtId="209" fontId="20" fillId="0" borderId="26" xfId="0" applyNumberFormat="1" applyFont="1" applyFill="1" applyBorder="1" applyAlignment="1">
      <x:alignment vertical="top" wrapText="1"/>
    </x:xf>
    <x:xf numFmtId="214" fontId="20" fillId="0" borderId="28" xfId="0" applyNumberFormat="1" applyFont="1" applyFill="1" applyBorder="1" applyAlignment="1">
      <x:alignment vertical="top" wrapText="1"/>
    </x:xf>
    <x:xf numFmtId="200" fontId="20" fillId="0" borderId="29" xfId="0" applyNumberFormat="1" applyFont="1" applyFill="1" applyBorder="1" applyAlignment="1">
      <x:alignment vertical="top" wrapText="1"/>
    </x:xf>
    <x:xf numFmtId="211" fontId="20" fillId="0" borderId="29" xfId="0" applyNumberFormat="1" applyFont="1" applyFill="1" applyBorder="1" applyAlignment="1">
      <x:alignment vertical="top" wrapText="1"/>
    </x:xf>
    <x:xf numFmtId="212" fontId="20" fillId="0" borderId="29" xfId="0" applyNumberFormat="1" applyFont="1" applyFill="1" applyBorder="1" applyAlignment="1">
      <x:alignment vertical="top" wrapText="1"/>
    </x:xf>
    <x:xf numFmtId="209" fontId="20" fillId="0" borderId="29" xfId="0" applyNumberFormat="1" applyFont="1" applyFill="1" applyBorder="1" applyAlignment="1">
      <x:alignment vertical="top" wrapText="1"/>
    </x:xf>
    <x:xf numFmtId="214" fontId="20" fillId="12" borderId="25" xfId="0" applyNumberFormat="1" applyFont="1" applyFill="1" applyBorder="1" applyAlignment="1">
      <x:alignment vertical="top" wrapText="1"/>
    </x:xf>
    <x:xf numFmtId="200" fontId="20" fillId="12" borderId="26" xfId="0" applyNumberFormat="1" applyFont="1" applyFill="1" applyBorder="1" applyAlignment="1">
      <x:alignment vertical="top" wrapText="1"/>
    </x:xf>
    <x:xf numFmtId="211" fontId="20" fillId="12" borderId="26" xfId="0" applyNumberFormat="1" applyFont="1" applyFill="1" applyBorder="1" applyAlignment="1">
      <x:alignment vertical="top" wrapText="1"/>
    </x:xf>
    <x:xf numFmtId="212" fontId="20" fillId="12" borderId="26" xfId="0" applyNumberFormat="1" applyFont="1" applyFill="1" applyBorder="1" applyAlignment="1">
      <x:alignment vertical="top" wrapText="1"/>
    </x:xf>
    <x:xf numFmtId="209" fontId="20" fillId="12" borderId="26" xfId="0" applyNumberFormat="1" applyFont="1" applyFill="1" applyBorder="1" applyAlignment="1">
      <x:alignment vertical="top" wrapText="1"/>
    </x:xf>
    <x:xf numFmtId="200" fontId="20" fillId="0" borderId="25" xfId="0" applyNumberFormat="1" applyFont="1" applyFill="1" applyBorder="1" applyAlignment="1">
      <x:alignment vertical="top" wrapText="1"/>
    </x:xf>
    <x:xf numFmtId="0" fontId="20" fillId="0" borderId="26" xfId="0" applyNumberFormat="1" applyFont="1" applyFill="1" applyBorder="1" applyAlignment="1">
      <x:alignment vertical="top" wrapText="1"/>
    </x:xf>
    <x:xf numFmtId="0" fontId="20" fillId="0" borderId="27" xfId="0" applyNumberFormat="1" applyFont="1" applyFill="1" applyBorder="1" applyAlignment="1">
      <x:alignment vertical="top" wrapText="1"/>
    </x:xf>
    <x:xf numFmtId="200" fontId="20" fillId="0" borderId="28" xfId="0" applyNumberFormat="1" applyFont="1" applyFill="1" applyBorder="1" applyAlignment="1">
      <x:alignment vertical="top" wrapText="1"/>
    </x:xf>
    <x:xf numFmtId="0" fontId="20" fillId="0" borderId="29" xfId="0" applyNumberFormat="1" applyFont="1" applyFill="1" applyBorder="1" applyAlignment="1">
      <x:alignment vertical="top" wrapText="1"/>
    </x:xf>
    <x:xf numFmtId="0" fontId="20" fillId="0" borderId="30" xfId="0" applyNumberFormat="1" applyFont="1" applyFill="1" applyBorder="1" applyAlignment="1">
      <x:alignment vertical="top" wrapText="1"/>
    </x:xf>
    <x:xf numFmtId="200" fontId="20" fillId="12" borderId="25" xfId="0" applyNumberFormat="1" applyFont="1" applyFill="1" applyBorder="1" applyAlignment="1">
      <x:alignment vertical="top" wrapText="1"/>
    </x:xf>
    <x:xf numFmtId="0" fontId="20" fillId="12" borderId="26" xfId="0" applyNumberFormat="1" applyFont="1" applyFill="1" applyBorder="1" applyAlignment="1">
      <x:alignment vertical="top" wrapText="1"/>
    </x:xf>
    <x:xf numFmtId="0" fontId="20" fillId="12" borderId="27" xfId="0" applyNumberFormat="1" applyFont="1" applyFill="1" applyBorder="1" applyAlignment="1">
      <x:alignment vertical="top" wrapText="1"/>
    </x:xf>
    <x:xf numFmtId="212" fontId="20" fillId="0" borderId="27" xfId="0" applyNumberFormat="1" applyFont="1" applyFill="1" applyBorder="1" applyAlignment="1">
      <x:alignment vertical="top" wrapText="1"/>
    </x:xf>
    <x:xf numFmtId="212" fontId="20" fillId="0" borderId="30" xfId="0" applyNumberFormat="1" applyFont="1" applyFill="1" applyBorder="1" applyAlignment="1">
      <x:alignment vertical="top" wrapText="1"/>
    </x:xf>
    <x:xf numFmtId="212" fontId="20" fillId="12" borderId="2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10" fontId="6" fillId="0" borderId="0" xfId="0" applyNumberFormat="1" applyFont="1" applyFill="1" applyBorder="1" applyAlignment="1">
      <x:alignment vertical="top" wrapText="1"/>
    </x:xf>
    <x:xf numFmtId="211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15" fontId="6" fillId="0" borderId="0" xfId="0" applyNumberFormat="1" applyFont="1" applyFill="1" applyBorder="1" applyAlignment="1">
      <x:alignment vertical="top" wrapText="1"/>
    </x:xf>
    <x:xf numFmtId="216" fontId="6" fillId="0" borderId="0" xfId="0" applyNumberFormat="1" applyFont="1" applyFill="1" applyBorder="1" applyAlignment="1">
      <x:alignment vertical="top" wrapText="1"/>
    </x:xf>
    <x:xf numFmtId="212" fontId="6" fillId="0" borderId="0" xfId="0" applyNumberFormat="1" applyFont="1" applyFill="1" applyBorder="1" applyAlignment="1">
      <x:alignment vertical="top" wrapText="1"/>
    </x:xf>
    <x:xf numFmtId="0" fontId="15" fillId="0" borderId="22" xfId="0" applyNumberFormat="1" applyFont="1" applyFill="1" applyBorder="1" applyAlignment="1">
      <x:alignment vertical="top" wrapText="1"/>
    </x:xf>
    <x:xf numFmtId="0" fontId="15" fillId="0" borderId="23" xfId="0" applyNumberFormat="1" applyFont="1" applyFill="1" applyBorder="1" applyAlignment="1">
      <x:alignment vertical="top" wrapText="1"/>
    </x:xf>
    <x:xf numFmtId="210" fontId="6" fillId="0" borderId="23" xfId="0" applyNumberFormat="1" applyFont="1" applyFill="1" applyBorder="1" applyAlignment="1">
      <x:alignment vertical="top" wrapText="1"/>
    </x:xf>
    <x:xf numFmtId="211" fontId="6" fillId="0" borderId="23" xfId="0" applyNumberFormat="1" applyFont="1" applyFill="1" applyBorder="1" applyAlignment="1">
      <x:alignment vertical="top" wrapText="1"/>
    </x:xf>
    <x:xf numFmtId="200" fontId="6" fillId="0" borderId="23" xfId="0" applyNumberFormat="1" applyFont="1" applyFill="1" applyBorder="1" applyAlignment="1">
      <x:alignment vertical="top" wrapText="1"/>
    </x:xf>
    <x:xf numFmtId="215" fontId="6" fillId="0" borderId="23" xfId="0" applyNumberFormat="1" applyFont="1" applyFill="1" applyBorder="1" applyAlignment="1">
      <x:alignment vertical="top" wrapText="1"/>
    </x:xf>
    <x:xf numFmtId="216" fontId="6" fillId="0" borderId="23" xfId="0" applyNumberFormat="1" applyFont="1" applyFill="1" applyBorder="1" applyAlignment="1">
      <x:alignment vertical="top" wrapText="1"/>
    </x:xf>
    <x:xf numFmtId="212" fontId="6" fillId="0" borderId="24" xfId="0" applyNumberFormat="1" applyFont="1" applyFill="1" applyBorder="1" applyAlignment="1">
      <x:alignment vertical="top" wrapText="1"/>
    </x:xf>
    <x:xf numFmtId="0" fontId="15" fillId="0" borderId="28" xfId="0" applyNumberFormat="1" applyFont="1" applyFill="1" applyBorder="1" applyAlignment="1">
      <x:alignment vertical="top" wrapText="1"/>
    </x:xf>
    <x:xf numFmtId="210" fontId="6" fillId="0" borderId="29" xfId="0" applyNumberFormat="1" applyFont="1" applyFill="1" applyBorder="1" applyAlignment="1">
      <x:alignment vertical="top" wrapText="1"/>
    </x:xf>
    <x:xf numFmtId="211" fontId="6" fillId="0" borderId="29" xfId="0" applyNumberFormat="1" applyFont="1" applyFill="1" applyBorder="1" applyAlignment="1">
      <x:alignment vertical="top" wrapText="1"/>
    </x:xf>
    <x:xf numFmtId="200" fontId="6" fillId="0" borderId="29" xfId="0" applyNumberFormat="1" applyFont="1" applyFill="1" applyBorder="1" applyAlignment="1">
      <x:alignment vertical="top" wrapText="1"/>
    </x:xf>
    <x:xf numFmtId="215" fontId="6" fillId="0" borderId="29" xfId="0" applyNumberFormat="1" applyFont="1" applyFill="1" applyBorder="1" applyAlignment="1">
      <x:alignment vertical="top" wrapText="1"/>
    </x:xf>
    <x:xf numFmtId="216" fontId="6" fillId="0" borderId="29" xfId="0" applyNumberFormat="1" applyFont="1" applyFill="1" applyBorder="1" applyAlignment="1">
      <x:alignment vertical="top" wrapText="1"/>
    </x:xf>
    <x:xf numFmtId="212" fontId="6" fillId="0" borderId="30" xfId="0" applyNumberFormat="1" applyFont="1" applyFill="1" applyBorder="1" applyAlignment="1">
      <x:alignment vertical="top" wrapText="1"/>
    </x:xf>
    <x:xf numFmtId="0" fontId="15" fillId="12" borderId="28" xfId="0" applyNumberFormat="1" applyFont="1" applyFill="1" applyBorder="1" applyAlignment="1">
      <x:alignment vertical="top" wrapText="1"/>
    </x:xf>
    <x:xf numFmtId="210" fontId="6" fillId="12" borderId="29" xfId="0" applyNumberFormat="1" applyFont="1" applyFill="1" applyBorder="1" applyAlignment="1">
      <x:alignment vertical="top" wrapText="1"/>
    </x:xf>
    <x:xf numFmtId="211" fontId="6" fillId="12" borderId="29" xfId="0" applyNumberFormat="1" applyFont="1" applyFill="1" applyBorder="1" applyAlignment="1">
      <x:alignment vertical="top" wrapText="1"/>
    </x:xf>
    <x:xf numFmtId="200" fontId="6" fillId="12" borderId="29" xfId="0" applyNumberFormat="1" applyFont="1" applyFill="1" applyBorder="1" applyAlignment="1">
      <x:alignment vertical="top" wrapText="1"/>
    </x:xf>
    <x:xf numFmtId="215" fontId="6" fillId="12" borderId="29" xfId="0" applyNumberFormat="1" applyFont="1" applyFill="1" applyBorder="1" applyAlignment="1">
      <x:alignment vertical="top" wrapText="1"/>
    </x:xf>
    <x:xf numFmtId="216" fontId="6" fillId="12" borderId="29" xfId="0" applyNumberFormat="1" applyFont="1" applyFill="1" applyBorder="1" applyAlignment="1">
      <x:alignment vertical="top" wrapText="1"/>
    </x:xf>
    <x:xf numFmtId="212" fontId="6" fillId="12" borderId="3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15" fillId="0" borderId="31" xfId="0" applyNumberFormat="1" applyFont="1" applyFill="1" applyBorder="1" applyAlignment="1">
      <x:alignment vertical="top" wrapText="1"/>
    </x:xf>
    <x:xf numFmtId="0" fontId="15" fillId="0" borderId="32" xfId="0" applyNumberFormat="1" applyFont="1" applyFill="1" applyBorder="1" applyAlignment="1">
      <x:alignment vertical="top" wrapText="1"/>
    </x:xf>
    <x:xf numFmtId="0" fontId="21" fillId="0" borderId="32" xfId="0" applyNumberFormat="1" applyFont="1" applyFill="1" applyBorder="1" applyAlignment="1">
      <x:alignment vertical="top" wrapText="1"/>
    </x:xf>
    <x:xf numFmtId="0" fontId="15" fillId="0" borderId="33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horizontal="left" vertical="center"/>
    </x:xf>
    <x:xf numFmtId="0" fontId="10" fillId="11" borderId="0" xfId="0" applyNumberFormat="1" applyFont="1" applyFill="1" applyBorder="1"/>
    <x:xf numFmtId="0" fontId="22" fillId="11" borderId="0" xfId="0" applyNumberFormat="1" applyFont="1" applyFill="1" applyBorder="1"/>
    <x:xf numFmtId="0" fontId="22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horizontal="left"/>
    </x:xf>
    <x:xf numFmtId="0" fontId="3" fillId="11" borderId="0" xfId="0" applyNumberFormat="1" applyFont="1" applyFill="1" applyBorder="1" applyAlignment="1">
      <x:alignment horizontal="left" vertical="center"/>
    </x:xf>
    <x:xf numFmtId="0" fontId="3" fillId="11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2" fillId="14" borderId="0" xfId="0" applyNumberFormat="1" applyFont="1" applyFill="1" applyBorder="1" applyAlignment="1">
      <x:alignment vertical="center"/>
    </x:xf>
    <x:xf numFmtId="200" fontId="20" fillId="14" borderId="25" xfId="0" applyNumberFormat="1" applyFont="1" applyFill="1" applyBorder="1" applyAlignment="1">
      <x:alignment vertical="top" wrapText="1"/>
    </x:xf>
    <x:xf numFmtId="200" fontId="20" fillId="14" borderId="26" xfId="0" applyNumberFormat="1" applyFont="1" applyFill="1" applyBorder="1" applyAlignment="1">
      <x:alignment vertical="top" wrapText="1"/>
    </x:xf>
    <x:xf numFmtId="209" fontId="20" fillId="14" borderId="26" xfId="0" applyNumberFormat="1" applyFont="1" applyFill="1" applyBorder="1" applyAlignment="1">
      <x:alignment vertical="top" wrapText="1"/>
    </x:xf>
    <x:xf numFmtId="0" fontId="20" fillId="14" borderId="26" xfId="0" applyNumberFormat="1" applyFont="1" applyFill="1" applyBorder="1" applyAlignment="1">
      <x:alignment vertical="top" wrapText="1"/>
    </x:xf>
    <x:xf numFmtId="212" fontId="20" fillId="14" borderId="27" xfId="0" applyNumberFormat="1" applyFont="1" applyFill="1" applyBorder="1" applyAlignment="1">
      <x:alignment vertical="top" wrapText="1"/>
    </x:xf>
    <x:xf numFmtId="200" fontId="20" fillId="14" borderId="28" xfId="0" applyNumberFormat="1" applyFont="1" applyFill="1" applyBorder="1" applyAlignment="1">
      <x:alignment vertical="top" wrapText="1"/>
    </x:xf>
    <x:xf numFmtId="200" fontId="20" fillId="14" borderId="29" xfId="0" applyNumberFormat="1" applyFont="1" applyFill="1" applyBorder="1" applyAlignment="1">
      <x:alignment vertical="top" wrapText="1"/>
    </x:xf>
    <x:xf numFmtId="209" fontId="20" fillId="14" borderId="29" xfId="0" applyNumberFormat="1" applyFont="1" applyFill="1" applyBorder="1" applyAlignment="1">
      <x:alignment vertical="top" wrapText="1"/>
    </x:xf>
    <x:xf numFmtId="0" fontId="20" fillId="14" borderId="29" xfId="0" applyNumberFormat="1" applyFont="1" applyFill="1" applyBorder="1" applyAlignment="1">
      <x:alignment vertical="top" wrapText="1"/>
    </x:xf>
    <x:xf numFmtId="212" fontId="20" fillId="14" borderId="30" xfId="0" applyNumberFormat="1" applyFont="1" applyFill="1" applyBorder="1" applyAlignment="1">
      <x:alignment vertical="top" wrapText="1"/>
    </x:xf>
    <x:xf numFmtId="0" fontId="18" fillId="14" borderId="25" xfId="0" applyNumberFormat="1" applyFont="1" applyFill="1" applyBorder="1" applyAlignment="1">
      <x:alignment vertical="top" wrapText="1"/>
    </x:xf>
    <x:xf numFmtId="0" fontId="18" fillId="14" borderId="26" xfId="0" applyNumberFormat="1" applyFont="1" applyFill="1" applyBorder="1" applyAlignment="1">
      <x:alignment vertical="top" wrapText="1"/>
    </x:xf>
    <x:xf numFmtId="213" fontId="19" fillId="14" borderId="26" xfId="0" applyNumberFormat="1" applyFont="1" applyFill="1" applyBorder="1" applyAlignment="1">
      <x:alignment vertical="top" wrapText="1"/>
    </x:xf>
    <x:xf numFmtId="0" fontId="19" fillId="14" borderId="26" xfId="0" applyNumberFormat="1" applyFont="1" applyFill="1" applyBorder="1" applyAlignment="1">
      <x:alignment vertical="top" wrapText="1"/>
    </x:xf>
    <x:xf numFmtId="203" fontId="19" fillId="14" borderId="26" xfId="0" applyNumberFormat="1" applyFont="1" applyFill="1" applyBorder="1" applyAlignment="1">
      <x:alignment vertical="top" wrapText="1"/>
    </x:xf>
    <x:xf numFmtId="200" fontId="19" fillId="14" borderId="26" xfId="0" applyNumberFormat="1" applyFont="1" applyFill="1" applyBorder="1" applyAlignment="1">
      <x:alignment vertical="top" wrapText="1"/>
    </x:xf>
    <x:xf numFmtId="0" fontId="18" fillId="14" borderId="27" xfId="0" applyNumberFormat="1" applyFont="1" applyFill="1" applyBorder="1" applyAlignment="1">
      <x:alignment vertical="top" wrapText="1"/>
    </x:xf>
    <x:xf numFmtId="0" fontId="18" fillId="14" borderId="28" xfId="0" applyNumberFormat="1" applyFont="1" applyFill="1" applyBorder="1" applyAlignment="1">
      <x:alignment vertical="top" wrapText="1"/>
    </x:xf>
    <x:xf numFmtId="0" fontId="18" fillId="14" borderId="29" xfId="0" applyNumberFormat="1" applyFont="1" applyFill="1" applyBorder="1" applyAlignment="1">
      <x:alignment vertical="top" wrapText="1"/>
    </x:xf>
    <x:xf numFmtId="213" fontId="19" fillId="14" borderId="29" xfId="0" applyNumberFormat="1" applyFont="1" applyFill="1" applyBorder="1" applyAlignment="1">
      <x:alignment vertical="top" wrapText="1"/>
    </x:xf>
    <x:xf numFmtId="0" fontId="19" fillId="14" borderId="29" xfId="0" applyNumberFormat="1" applyFont="1" applyFill="1" applyBorder="1" applyAlignment="1">
      <x:alignment vertical="top" wrapText="1"/>
    </x:xf>
    <x:xf numFmtId="203" fontId="19" fillId="14" borderId="29" xfId="0" applyNumberFormat="1" applyFont="1" applyFill="1" applyBorder="1" applyAlignment="1">
      <x:alignment vertical="top" wrapText="1"/>
    </x:xf>
    <x:xf numFmtId="200" fontId="19" fillId="14" borderId="29" xfId="0" applyNumberFormat="1" applyFont="1" applyFill="1" applyBorder="1" applyAlignment="1">
      <x:alignment vertical="top" wrapText="1"/>
    </x:xf>
    <x:xf numFmtId="0" fontId="18" fillId="14" borderId="3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52344e1fd4b03" /><Relationship Type="http://schemas.openxmlformats.org/officeDocument/2006/relationships/theme" Target="/xl/theme/theme1.xml" Id="R72358ad2cfb7462a" /><Relationship Type="http://schemas.openxmlformats.org/officeDocument/2006/relationships/sharedStrings" Target="/xl/sharedStrings.xml" Id="Rf9650bb04d874b36" /><Relationship Type="http://schemas.openxmlformats.org/officeDocument/2006/relationships/worksheet" Target="/xl/worksheets/sheet1.xml" Id="R890759fee47c484e" /><Relationship Type="http://schemas.openxmlformats.org/officeDocument/2006/relationships/worksheet" Target="/xl/worksheets/sheet2.xml" Id="Rc4425d58563b41b9" /><Relationship Type="http://schemas.openxmlformats.org/officeDocument/2006/relationships/worksheet" Target="/xl/worksheets/sheet3.xml" Id="R7b6fd69ad0ba4257" /><Relationship Type="http://schemas.openxmlformats.org/officeDocument/2006/relationships/worksheet" Target="/xl/worksheets/sheet4.xml" Id="R3e32c7d4243f43ca" /><Relationship Type="http://schemas.openxmlformats.org/officeDocument/2006/relationships/worksheet" Target="/xl/worksheets/sheet5.xml" Id="Ra66e21eef40d4928" /><Relationship Type="http://schemas.openxmlformats.org/officeDocument/2006/relationships/worksheet" Target="/xl/worksheets/sheet6.xml" Id="R86f88ad35ff740e7" /><Relationship Type="http://schemas.openxmlformats.org/officeDocument/2006/relationships/worksheet" Target="/xl/worksheets/sheet7.xml" Id="Rc52d11e9f52e4894" /><Relationship Type="http://schemas.openxmlformats.org/officeDocument/2006/relationships/worksheet" Target="/xl/worksheets/sheet8.xml" Id="R5e6b6f1cdf7140f7" /><Relationship Type="http://schemas.openxmlformats.org/officeDocument/2006/relationships/worksheet" Target="/xl/worksheets/sheet9.xml" Id="R69c62832c2e4420e" /><Relationship Type="http://schemas.openxmlformats.org/officeDocument/2006/relationships/worksheet" Target="/xl/worksheets/sheet10.xml" Id="Rd237ee92b5894739" /><Relationship Type="http://schemas.openxmlformats.org/officeDocument/2006/relationships/worksheet" Target="/xl/worksheets/sheet11.xml" Id="Rfd36225edfb041ce" /><Relationship Type="http://schemas.openxmlformats.org/officeDocument/2006/relationships/worksheet" Target="/xl/worksheets/sheet12.xml" Id="R3d0025b9e71246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a5b1bb0d3d4fc1" /><Relationship Type="http://schemas.openxmlformats.org/officeDocument/2006/relationships/chart" Target="/xl/drawings/charts/chart2.xml" Id="R3ff801dccde8491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Current IT GW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'Dashboard'!$C$11:$C$17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Future indicator GW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'Dashboard'!$D$11:$D$17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Uncommenced / MCap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'Dashboard'!$J$11:$J$17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Commitments / MCap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'Dashboard'!$K$11:$K$17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a5b1bb0d3d4fc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f801dccde849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0cc9811ab3045e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3" hidden="0" customWidth="1"/>
    <x:col min="5" max="5" width="9" hidden="0" customWidth="1"/>
    <x:col min="6" max="6" width="12" hidden="0" customWidth="1"/>
    <x:col min="7" max="7" width="12" hidden="0" customWidth="1"/>
    <x:col min="8" max="8" width="16" hidden="0" customWidth="1"/>
    <x:col min="9" max="9" width="15" hidden="0" customWidth="1"/>
    <x:col min="10" max="10" width="18" hidden="0" customWidth="1"/>
    <x:col min="11" max="11" width="18" hidden="0" customWidth="1"/>
    <x:col min="12" max="12" width="13" hidden="0" customWidth="1"/>
    <x:col min="13" max="13" width="52" hidden="0" customWidth="1"/>
  </x:cols>
  <x:sheetData>
    <x:row r="1">
      <x:c r="A1" s="5" t="str">
        <x:v>Compute normalization: power conventions and H100-equivalent density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3" t="str">
        <x:v>Blue = hardcoded/source input; black = same-sheet formula; green = cross-sheet link. H100e is dense-equivalent 8-bit throughput and omits memory, fabric and software advantages. Sources: S05-S11.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6">
      <x:c r="A6" s="20" t="str">
        <x:v>Fleet power bridge assumptions</x:v>
      </x:c>
      <x:c r="B6" s="20"/>
      <x:c r="C6" s="20"/>
      <x:c r="D6" s="20"/>
    </x:row>
    <x:row r="7">
      <x:c r="A7" s="28" t="str">
        <x:v>Metric</x:v>
      </x:c>
      <x:c r="B7" s="28" t="str">
        <x:v>Base</x:v>
      </x:c>
      <x:c r="C7" s="28" t="str">
        <x:v>Low</x:v>
      </x:c>
      <x:c r="D7" s="28" t="str">
        <x:v>High</x:v>
      </x:c>
    </x:row>
    <x:row r="8">
      <x:c r="A8" s="39" t="str">
        <x:v>Facility power / accelerator TDP</x:v>
      </x:c>
      <x:c r="B8" s="50" t="n">
        <x:v>2</x:v>
      </x:c>
      <x:c r="C8" s="50" t="n">
        <x:v>1.7</x:v>
      </x:c>
      <x:c r="D8" s="50" t="n">
        <x:v>2.3</x:v>
      </x:c>
    </x:row>
    <x:row r="9">
      <x:c r="A9" s="39" t="str">
        <x:v>Fleet PUE</x:v>
      </x:c>
      <x:c r="B9" s="50" t="n">
        <x:v>1.25</x:v>
      </x:c>
      <x:c r="C9" s="50" t="n">
        <x:v>1.18</x:v>
      </x:c>
      <x:c r="D9" s="50" t="n">
        <x:v>1.35</x:v>
      </x:c>
    </x:row>
    <x:row r="10">
      <x:c r="A10" s="40" t="str">
        <x:v>Implied IT power / accelerator TDP</x:v>
      </x:c>
      <x:c r="B10" s="51" t="n">
        <x:f>B8/B9</x:f>
        <x:v>1.6</x:v>
      </x:c>
      <x:c r="C10" s="51" t="n">
        <x:f>C8/C9</x:f>
        <x:v>1.4406779661016949</x:v>
      </x:c>
      <x:c r="D10" s="51" t="n">
        <x:f>D8/D9</x:f>
        <x:v>1.7037037037037035</x:v>
      </x:c>
    </x:row>
    <x:row r="13">
      <x:c r="A13" s="28" t="str">
        <x:v>Platform</x:v>
      </x:c>
      <x:c r="B13" s="28" t="str">
        <x:v>GPUs / system</x:v>
      </x:c>
      <x:c r="C13" s="28" t="str">
        <x:v>System kW</x:v>
      </x:c>
      <x:c r="D13" s="28" t="str">
        <x:v>External overhead</x:v>
      </x:c>
      <x:c r="E13" s="28" t="str">
        <x:v>PUE</x:v>
      </x:c>
      <x:c r="F13" s="28" t="str">
        <x:v>H100e / GPU</x:v>
      </x:c>
      <x:c r="G13" s="28" t="str">
        <x:v>IT kW / GPU</x:v>
      </x:c>
      <x:c r="H13" s="28" t="str">
        <x:v>Physical GPUs / IT GW</x:v>
      </x:c>
      <x:c r="I13" s="28" t="str">
        <x:v>H100e / IT GW</x:v>
      </x:c>
      <x:c r="J13" s="28" t="str">
        <x:v>Physical GPUs / facility GW</x:v>
      </x:c>
      <x:c r="K13" s="28" t="str">
        <x:v>H100e / facility GW</x:v>
      </x:c>
      <x:c r="L13" s="28" t="str">
        <x:v>Source IDs</x:v>
      </x:c>
      <x:c r="M13" s="28" t="str">
        <x:v>Notes</x:v>
      </x:c>
    </x:row>
    <x:row r="14">
      <x:c r="A14" s="39" t="str">
        <x:v>H100 (DGX H100)</x:v>
      </x:c>
      <x:c r="B14" s="50" t="n">
        <x:v>8</x:v>
      </x:c>
      <x:c r="C14" s="50" t="n">
        <x:v>10.2</x:v>
      </x:c>
      <x:c r="D14" s="50" t="n">
        <x:v>0.15</x:v>
      </x:c>
      <x:c r="E14" s="50" t="n">
        <x:v>1.2</x:v>
      </x:c>
      <x:c r="F14" s="50" t="n">
        <x:v>1</x:v>
      </x:c>
      <x:c r="G14" s="58" t="n">
        <x:f>(C14/B14)*(1+D14)</x:f>
        <x:v>1.4662499999999998</x:v>
      </x:c>
      <x:c r="H14" s="62" t="n">
        <x:f>1000000/G14</x:f>
        <x:v>682011.9352088663</x:v>
      </x:c>
      <x:c r="I14" s="62" t="n">
        <x:f>H14*F14</x:f>
        <x:v>682011.9352088663</x:v>
      </x:c>
      <x:c r="J14" s="62" t="n">
        <x:f>H14/E14</x:f>
        <x:v>568343.2793407219</x:v>
      </x:c>
      <x:c r="K14" s="62" t="n">
        <x:f>I14/E14</x:f>
        <x:v>568343.2793407219</x:v>
      </x:c>
      <x:c r="L14" s="39" t="str">
        <x:v>S05,S06</x:v>
      </x:c>
      <x:c r="M14" s="39" t="str">
        <x:v>H100e baseline; 15% external network/storage overhead is modeled.</x:v>
      </x:c>
    </x:row>
    <x:row r="15">
      <x:c r="A15" s="39" t="str">
        <x:v>H200</x:v>
      </x:c>
      <x:c r="B15" s="50" t="n">
        <x:v>8</x:v>
      </x:c>
      <x:c r="C15" s="50" t="n">
        <x:v>10.2</x:v>
      </x:c>
      <x:c r="D15" s="50" t="n">
        <x:v>0.15</x:v>
      </x:c>
      <x:c r="E15" s="50" t="n">
        <x:v>1.2</x:v>
      </x:c>
      <x:c r="F15" s="50" t="n">
        <x:v>1</x:v>
      </x:c>
      <x:c r="G15" s="58" t="n">
        <x:f>(C15/B15)*(1+D15)</x:f>
        <x:v>1.4662499999999998</x:v>
      </x:c>
      <x:c r="H15" s="62" t="n">
        <x:f>1000000/G15</x:f>
        <x:v>682011.9352088663</x:v>
      </x:c>
      <x:c r="I15" s="62" t="n">
        <x:f>H15*F15</x:f>
        <x:v>682011.9352088663</x:v>
      </x:c>
      <x:c r="J15" s="62" t="n">
        <x:f>H15/E15</x:f>
        <x:v>568343.2793407219</x:v>
      </x:c>
      <x:c r="K15" s="62" t="n">
        <x:f>I15/E15</x:f>
        <x:v>568343.2793407219</x:v>
      </x:c>
      <x:c r="L15" s="39" t="str">
        <x:v>S05,S06</x:v>
      </x:c>
      <x:c r="M15" s="39" t="str">
        <x:v>Compute-only H100e treats H200 near H100; memory advantage is not captured.</x:v>
      </x:c>
    </x:row>
    <x:row r="16">
      <x:c r="A16" s="39" t="str">
        <x:v>B100 (modeled air-cooled envelope)</x:v>
      </x:c>
      <x:c r="B16" s="50" t="n">
        <x:v>8</x:v>
      </x:c>
      <x:c r="C16" s="50" t="n">
        <x:v>10.2</x:v>
      </x:c>
      <x:c r="D16" s="50" t="n">
        <x:v>0.15</x:v>
      </x:c>
      <x:c r="E16" s="50" t="n">
        <x:v>1.2</x:v>
      </x:c>
      <x:c r="F16" s="50" t="n">
        <x:v>1.7685699848408287</x:v>
      </x:c>
      <x:c r="G16" s="58" t="n">
        <x:f>(C16/B16)*(1+D16)</x:f>
        <x:v>1.4662499999999998</x:v>
      </x:c>
      <x:c r="H16" s="62" t="n">
        <x:f>1000000/G16</x:f>
        <x:v>682011.9352088663</x:v>
      </x:c>
      <x:c r="I16" s="62" t="n">
        <x:f>H16*F16</x:f>
        <x:v>1206185.8379136089</x:v>
      </x:c>
      <x:c r="J16" s="62" t="n">
        <x:f>H16/E16</x:f>
        <x:v>568343.2793407219</x:v>
      </x:c>
      <x:c r="K16" s="62" t="n">
        <x:f>I16/E16</x:f>
        <x:v>1005154.8649280075</x:v>
      </x:c>
      <x:c r="L16" s="39" t="str">
        <x:v>S05,S06,S09</x:v>
      </x:c>
      <x:c r="M16" s="39" t="str">
        <x:v>Uses H100 DGX power envelope as explicit approximation; dense-equivalent FP8 ratio.</x:v>
      </x:c>
    </x:row>
    <x:row r="17">
      <x:c r="A17" s="39" t="str">
        <x:v>B200 (DGX B200)</x:v>
      </x:c>
      <x:c r="B17" s="50" t="n">
        <x:v>8</x:v>
      </x:c>
      <x:c r="C17" s="50" t="n">
        <x:v>14.3</x:v>
      </x:c>
      <x:c r="D17" s="50" t="n">
        <x:v>0.15</x:v>
      </x:c>
      <x:c r="E17" s="50" t="n">
        <x:v>1.2</x:v>
      </x:c>
      <x:c r="F17" s="50" t="n">
        <x:v>2.273875694795351</x:v>
      </x:c>
      <x:c r="G17" s="58" t="n">
        <x:f>(C17/B17)*(1+D17)</x:f>
        <x:v>2.055625</x:v>
      </x:c>
      <x:c r="H17" s="62" t="n">
        <x:f>1000000/G17</x:f>
        <x:v>486470.051687443</x:v>
      </x:c>
      <x:c r="I17" s="62" t="n">
        <x:f>H17*F17</x:f>
        <x:v>1106172.4267779146</x:v>
      </x:c>
      <x:c r="J17" s="62" t="n">
        <x:f>H17/E17</x:f>
        <x:v>405391.7097395358</x:v>
      </x:c>
      <x:c r="K17" s="62" t="n">
        <x:f>I17/E17</x:f>
        <x:v>921810.3556482622</x:v>
      </x:c>
      <x:c r="L17" s="39" t="str">
        <x:v>S05,S07,S08</x:v>
      </x:c>
      <x:c r="M17" s="39" t="str">
        <x:v>Eight-GPU DGX B200; 15% external network/storage overhead modeled.</x:v>
      </x:c>
    </x:row>
    <x:row r="18">
      <x:c r="A18" s="40" t="str">
        <x:v>GB200 NVL72</x:v>
      </x:c>
      <x:c r="B18" s="56" t="n">
        <x:v>72</x:v>
      </x:c>
      <x:c r="C18" s="56" t="n">
        <x:v>120</x:v>
      </x:c>
      <x:c r="D18" s="56" t="n">
        <x:v>0.1</x:v>
      </x:c>
      <x:c r="E18" s="56" t="n">
        <x:v>1.18</x:v>
      </x:c>
      <x:c r="F18" s="56" t="n">
        <x:v>2.526528549772612</x:v>
      </x:c>
      <x:c r="G18" s="59" t="n">
        <x:f>(C18/B18)*(1+D18)</x:f>
        <x:v>1.8333333333333335</x:v>
      </x:c>
      <x:c r="H18" s="63" t="n">
        <x:f>1000000/G18</x:f>
        <x:v>545454.5454545454</x:v>
      </x:c>
      <x:c r="I18" s="63" t="n">
        <x:f>H18*F18</x:f>
        <x:v>1378106.481694152</x:v>
      </x:c>
      <x:c r="J18" s="63" t="n">
        <x:f>H18/E18</x:f>
        <x:v>462249.61479198764</x:v>
      </x:c>
      <x:c r="K18" s="63" t="n">
        <x:f>I18/E18</x:f>
        <x:v>1167886.8488933493</x:v>
      </x:c>
      <x:c r="L18" s="40" t="str">
        <x:v>S05,S09,S10,S11</x:v>
      </x:c>
      <x:c r="M18" s="40" t="str">
        <x:v>120 kW rack plus 10% external overhead; dense FP8 equivalent.</x:v>
      </x:c>
    </x:row>
  </x:sheetData>
  <x:mergeCells>
    <x:mergeCell ref="A1:M2"/>
    <x:mergeCell ref="A3:M4"/>
    <x:mergeCell ref="A6:D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5" hidden="0" customWidth="1"/>
    <x:col min="4" max="4" width="1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38" hidden="0" customWidth="1"/>
    <x:col min="11" max="11" width="12" hidden="0" customWidth="1"/>
    <x:col min="12" max="12" width="42" hidden="0" customWidth="1"/>
  </x:cols>
  <x:sheetData>
    <x:row r="1">
      <x:c r="A1" s="5" t="str">
        <x:v>Named current AI data-center capacity (public-site floor)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3" t="str">
        <x:v>IT MW excludes PUE overhead. Modeled cost is the Epoch AI common full-stack replacement capex, not company-reported spend. Database coverage is estimated at 46% of deployed global AI compute at end-June 2026. S01-S02.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6">
      <x:c r="A6" s="28" t="str">
        <x:v>Vendor roll-up</x:v>
      </x:c>
      <x:c r="B6" s="28" t="str">
        <x:v>Reported owner / customer</x:v>
      </x:c>
      <x:c r="C6" s="28" t="str">
        <x:v>Site / campus</x:v>
      </x:c>
      <x:c r="D6" s="28" t="str">
        <x:v>IT MW</x:v>
      </x:c>
      <x:c r="E6" s="28" t="str">
        <x:v>H100e (000s)</x:v>
      </x:c>
      <x:c r="F6" s="28" t="str">
        <x:v>Modeled cost ($B)</x:v>
      </x:c>
      <x:c r="G6" s="28" t="str">
        <x:v>H100e / IT MW</x:v>
      </x:c>
      <x:c r="H6" s="28" t="str">
        <x:v>Cost / IT MW ($M)</x:v>
      </x:c>
      <x:c r="I6" s="28" t="str">
        <x:v>Status</x:v>
      </x:c>
      <x:c r="J6" s="28" t="str">
        <x:v>Cost basis</x:v>
      </x:c>
      <x:c r="K6" s="28" t="str">
        <x:v>Source IDs</x:v>
      </x:c>
      <x:c r="L6" s="28" t="str">
        <x:v>Source URL</x:v>
      </x:c>
    </x:row>
    <x:row r="7">
      <x:c r="A7" s="48" t="str">
        <x:v>xAI / SpaceXAI</x:v>
      </x:c>
      <x:c r="B7" s="48" t="str">
        <x:v>xAI / SpaceXAI</x:v>
      </x:c>
      <x:c r="C7" s="48" t="str">
        <x:v>Colossus 2</x:v>
      </x:c>
      <x:c r="D7" s="66" t="n">
        <x:v>946</x:v>
      </x:c>
      <x:c r="E7" s="66" t="n">
        <x:v>1112</x:v>
      </x:c>
      <x:c r="F7" s="70" t="n">
        <x:v>35.84</x:v>
      </x:c>
      <x:c r="G7" s="74" t="n">
        <x:f>E7/D7</x:f>
        <x:v>1.175475687103594</x:v>
      </x:c>
      <x:c r="H7" s="74" t="n">
        <x:f>F7*1000/D7</x:f>
        <x:v>37.88583509513742</x:v>
      </x:c>
      <x:c r="I7" s="39" t="str">
        <x:v>Current / tracked</x:v>
      </x:c>
      <x:c r="J7" s="39" t="str">
        <x:v>Epoch modeled full-stack replacement capex</x:v>
      </x:c>
      <x:c r="K7" s="39" t="str">
        <x:v>S01,S02</x:v>
      </x:c>
      <x:c r="L7" s="39" t="str">
        <x:v>https://epoch.ai/data/ai-data-centers</x:v>
      </x:c>
    </x:row>
    <x:row r="8">
      <x:c r="A8" s="48" t="str">
        <x:v>Amazon / AWS</x:v>
      </x:c>
      <x:c r="B8" s="48" t="str">
        <x:v>Amazon / Anthropic</x:v>
      </x:c>
      <x:c r="C8" s="48" t="str">
        <x:v>New Carlisle</x:v>
      </x:c>
      <x:c r="D8" s="66" t="n">
        <x:v>910</x:v>
      </x:c>
      <x:c r="E8" s="66" t="n">
        <x:v>685.9</x:v>
      </x:c>
      <x:c r="F8" s="70" t="n">
        <x:v>34.47</x:v>
      </x:c>
      <x:c r="G8" s="74" t="n">
        <x:f>E8/D8</x:f>
        <x:v>0.7537362637362637</x:v>
      </x:c>
      <x:c r="H8" s="74" t="n">
        <x:f>F8*1000/D8</x:f>
        <x:v>37.879120879120876</x:v>
      </x:c>
      <x:c r="I8" s="39" t="str">
        <x:v>Current / tracked</x:v>
      </x:c>
      <x:c r="J8" s="39" t="str">
        <x:v>Epoch modeled full-stack replacement capex</x:v>
      </x:c>
      <x:c r="K8" s="39" t="str">
        <x:v>S01,S02</x:v>
      </x:c>
      <x:c r="L8" s="39" t="str">
        <x:v>https://epoch.ai/data/ai-data-centers</x:v>
      </x:c>
    </x:row>
    <x:row r="9">
      <x:c r="A9" s="48" t="str">
        <x:v>Microsoft</x:v>
      </x:c>
      <x:c r="B9" s="48" t="str">
        <x:v>Microsoft</x:v>
      </x:c>
      <x:c r="C9" s="48" t="str">
        <x:v>Fairwater Atlanta</x:v>
      </x:c>
      <x:c r="D9" s="66" t="n">
        <x:v>636</x:v>
      </x:c>
      <x:c r="E9" s="66" t="n">
        <x:v>768.8</x:v>
      </x:c>
      <x:c r="F9" s="70" t="n">
        <x:v>24.09</x:v>
      </x:c>
      <x:c r="G9" s="74" t="n">
        <x:f>E9/D9</x:f>
        <x:v>1.2088050314465408</x:v>
      </x:c>
      <x:c r="H9" s="74" t="n">
        <x:f>F9*1000/D9</x:f>
        <x:v>37.87735849056604</x:v>
      </x:c>
      <x:c r="I9" s="39" t="str">
        <x:v>Current / tracked</x:v>
      </x:c>
      <x:c r="J9" s="39" t="str">
        <x:v>Epoch modeled full-stack replacement capex</x:v>
      </x:c>
      <x:c r="K9" s="39" t="str">
        <x:v>S01,S02</x:v>
      </x:c>
      <x:c r="L9" s="39" t="str">
        <x:v>https://epoch.ai/data/ai-data-centers</x:v>
      </x:c>
    </x:row>
    <x:row r="10">
      <x:c r="A10" s="48" t="str">
        <x:v>Meta</x:v>
      </x:c>
      <x:c r="B10" s="48" t="str">
        <x:v>Meta</x:v>
      </x:c>
      <x:c r="C10" s="48" t="str">
        <x:v>Prometheus</x:v>
      </x:c>
      <x:c r="D10" s="66" t="n">
        <x:v>562</x:v>
      </x:c>
      <x:c r="E10" s="66" t="n">
        <x:v>679.6</x:v>
      </x:c>
      <x:c r="F10" s="70" t="n">
        <x:v>21.29</x:v>
      </x:c>
      <x:c r="G10" s="74" t="n">
        <x:f>E10/D10</x:f>
        <x:v>1.2092526690391459</x:v>
      </x:c>
      <x:c r="H10" s="74" t="n">
        <x:f>F10*1000/D10</x:f>
        <x:v>37.88256227758007</x:v>
      </x:c>
      <x:c r="I10" s="39" t="str">
        <x:v>Current / tracked</x:v>
      </x:c>
      <x:c r="J10" s="39" t="str">
        <x:v>Epoch modeled full-stack replacement capex</x:v>
      </x:c>
      <x:c r="K10" s="39" t="str">
        <x:v>S01,S02</x:v>
      </x:c>
      <x:c r="L10" s="39" t="str">
        <x:v>https://epoch.ai/data/ai-data-centers</x:v>
      </x:c>
    </x:row>
    <x:row r="11">
      <x:c r="A11" s="48" t="str">
        <x:v>Alphabet / Google</x:v>
      </x:c>
      <x:c r="B11" s="48" t="str">
        <x:v>Google</x:v>
      </x:c>
      <x:c r="C11" s="48" t="str">
        <x:v>New Albany</x:v>
      </x:c>
      <x:c r="D11" s="66" t="n">
        <x:v>453</x:v>
      </x:c>
      <x:c r="E11" s="66" t="n">
        <x:v>616.5</x:v>
      </x:c>
      <x:c r="F11" s="70" t="n">
        <x:v>17.16</x:v>
      </x:c>
      <x:c r="G11" s="74" t="n">
        <x:f>E11/D11</x:f>
        <x:v>1.3609271523178808</x:v>
      </x:c>
      <x:c r="H11" s="74" t="n">
        <x:f>F11*1000/D11</x:f>
        <x:v>37.88079470198676</x:v>
      </x:c>
      <x:c r="I11" s="39" t="str">
        <x:v>Current / tracked</x:v>
      </x:c>
      <x:c r="J11" s="39" t="str">
        <x:v>Epoch modeled full-stack replacement capex</x:v>
      </x:c>
      <x:c r="K11" s="39" t="str">
        <x:v>S01,S02</x:v>
      </x:c>
      <x:c r="L11" s="39" t="str">
        <x:v>https://epoch.ai/data/ai-data-centers</x:v>
      </x:c>
    </x:row>
    <x:row r="12">
      <x:c r="A12" s="48" t="str">
        <x:v>Oracle</x:v>
      </x:c>
      <x:c r="B12" s="48" t="str">
        <x:v>Oracle / OpenAI</x:v>
      </x:c>
      <x:c r="C12" s="48" t="str">
        <x:v>Stargate Abilene</x:v>
      </x:c>
      <x:c r="D12" s="66" t="n">
        <x:v>421</x:v>
      </x:c>
      <x:c r="E12" s="66" t="n">
        <x:v>509.3</x:v>
      </x:c>
      <x:c r="F12" s="70" t="n">
        <x:v>15.95</x:v>
      </x:c>
      <x:c r="G12" s="74" t="n">
        <x:f>E12/D12</x:f>
        <x:v>1.2097387173396674</x:v>
      </x:c>
      <x:c r="H12" s="74" t="n">
        <x:f>F12*1000/D12</x:f>
        <x:v>37.88598574821853</x:v>
      </x:c>
      <x:c r="I12" s="39" t="str">
        <x:v>Current / tracked</x:v>
      </x:c>
      <x:c r="J12" s="39" t="str">
        <x:v>Epoch modeled full-stack replacement capex</x:v>
      </x:c>
      <x:c r="K12" s="39" t="str">
        <x:v>S01,S02</x:v>
      </x:c>
      <x:c r="L12" s="39" t="str">
        <x:v>https://epoch.ai/data/ai-data-centers</x:v>
      </x:c>
    </x:row>
    <x:row r="13">
      <x:c r="A13" s="48" t="str">
        <x:v>Microsoft</x:v>
      </x:c>
      <x:c r="B13" s="48" t="str">
        <x:v>Microsoft</x:v>
      </x:c>
      <x:c r="C13" s="48" t="str">
        <x:v>Fairwater Wisconsin</x:v>
      </x:c>
      <x:c r="D13" s="66" t="n">
        <x:v>369</x:v>
      </x:c>
      <x:c r="E13" s="66" t="n">
        <x:v>445.7</x:v>
      </x:c>
      <x:c r="F13" s="70" t="n">
        <x:v>13.98</x:v>
      </x:c>
      <x:c r="G13" s="74" t="n">
        <x:f>E13/D13</x:f>
        <x:v>1.207859078590786</x:v>
      </x:c>
      <x:c r="H13" s="74" t="n">
        <x:f>F13*1000/D13</x:f>
        <x:v>37.886178861788615</x:v>
      </x:c>
      <x:c r="I13" s="39" t="str">
        <x:v>Current / tracked</x:v>
      </x:c>
      <x:c r="J13" s="39" t="str">
        <x:v>Epoch modeled full-stack replacement capex</x:v>
      </x:c>
      <x:c r="K13" s="39" t="str">
        <x:v>S01,S02</x:v>
      </x:c>
      <x:c r="L13" s="39" t="str">
        <x:v>https://epoch.ai/data/ai-data-centers</x:v>
      </x:c>
    </x:row>
    <x:row r="14">
      <x:c r="A14" s="48" t="str">
        <x:v>Alphabet / Google</x:v>
      </x:c>
      <x:c r="B14" s="48" t="str">
        <x:v>Google</x:v>
      </x:c>
      <x:c r="C14" s="48" t="str">
        <x:v>Pryor North</x:v>
      </x:c>
      <x:c r="D14" s="66" t="n">
        <x:v>368</x:v>
      </x:c>
      <x:c r="E14" s="66" t="n">
        <x:v>763</x:v>
      </x:c>
      <x:c r="F14" s="70" t="n">
        <x:v>13.94</x:v>
      </x:c>
      <x:c r="G14" s="74" t="n">
        <x:f>E14/D14</x:f>
        <x:v>2.073369565217391</x:v>
      </x:c>
      <x:c r="H14" s="74" t="n">
        <x:f>F14*1000/D14</x:f>
        <x:v>37.880434782608695</x:v>
      </x:c>
      <x:c r="I14" s="39" t="str">
        <x:v>Current / tracked</x:v>
      </x:c>
      <x:c r="J14" s="39" t="str">
        <x:v>Epoch modeled full-stack replacement capex</x:v>
      </x:c>
      <x:c r="K14" s="39" t="str">
        <x:v>S01,S02</x:v>
      </x:c>
      <x:c r="L14" s="39" t="str">
        <x:v>https://epoch.ai/data/ai-data-centers</x:v>
      </x:c>
    </x:row>
    <x:row r="15">
      <x:c r="A15" s="48" t="str">
        <x:v>Alphabet / Google</x:v>
      </x:c>
      <x:c r="B15" s="48" t="str">
        <x:v>Google</x:v>
      </x:c>
      <x:c r="C15" s="48" t="str">
        <x:v>Columbus</x:v>
      </x:c>
      <x:c r="D15" s="66" t="n">
        <x:v>303</x:v>
      </x:c>
      <x:c r="E15" s="66" t="n">
        <x:v>408.8</x:v>
      </x:c>
      <x:c r="F15" s="70" t="n">
        <x:v>11.48</x:v>
      </x:c>
      <x:c r="G15" s="74" t="n">
        <x:f>E15/D15</x:f>
        <x:v>1.3491749174917491</x:v>
      </x:c>
      <x:c r="H15" s="74" t="n">
        <x:f>F15*1000/D15</x:f>
        <x:v>37.88778877887789</x:v>
      </x:c>
      <x:c r="I15" s="39" t="str">
        <x:v>Current / tracked</x:v>
      </x:c>
      <x:c r="J15" s="39" t="str">
        <x:v>Epoch modeled full-stack replacement capex</x:v>
      </x:c>
      <x:c r="K15" s="39" t="str">
        <x:v>S01,S02</x:v>
      </x:c>
      <x:c r="L15" s="39" t="str">
        <x:v>https://epoch.ai/data/ai-data-centers</x:v>
      </x:c>
    </x:row>
    <x:row r="16">
      <x:c r="A16" s="48" t="str">
        <x:v>Amazon / AWS</x:v>
      </x:c>
      <x:c r="B16" s="48" t="str">
        <x:v>Amazon</x:v>
      </x:c>
      <x:c r="C16" s="48" t="str">
        <x:v>Madison</x:v>
      </x:c>
      <x:c r="D16" s="66" t="n">
        <x:v>284</x:v>
      </x:c>
      <x:c r="E16" s="66" t="n">
        <x:v>214.3</x:v>
      </x:c>
      <x:c r="F16" s="70" t="n">
        <x:v>10.76</x:v>
      </x:c>
      <x:c r="G16" s="74" t="n">
        <x:f>E16/D16</x:f>
        <x:v>0.7545774647887324</x:v>
      </x:c>
      <x:c r="H16" s="74" t="n">
        <x:f>F16*1000/D16</x:f>
        <x:v>37.88732394366197</x:v>
      </x:c>
      <x:c r="I16" s="39" t="str">
        <x:v>Current / tracked</x:v>
      </x:c>
      <x:c r="J16" s="39" t="str">
        <x:v>Epoch modeled full-stack replacement capex</x:v>
      </x:c>
      <x:c r="K16" s="39" t="str">
        <x:v>S01,S02</x:v>
      </x:c>
      <x:c r="L16" s="39" t="str">
        <x:v>https://epoch.ai/data/ai-data-centers</x:v>
      </x:c>
    </x:row>
    <x:row r="17">
      <x:c r="A17" s="48" t="str">
        <x:v>CoreWeave</x:v>
      </x:c>
      <x:c r="B17" s="48" t="str">
        <x:v>CoreWeave</x:v>
      </x:c>
      <x:c r="C17" s="48" t="str">
        <x:v>Denton</x:v>
      </x:c>
      <x:c r="D17" s="66" t="n">
        <x:v>262</x:v>
      </x:c>
      <x:c r="E17" s="66" t="n">
        <x:v>252.7</x:v>
      </x:c>
      <x:c r="F17" s="70" t="n">
        <x:v>9.93</x:v>
      </x:c>
      <x:c r="G17" s="74" t="n">
        <x:f>E17/D17</x:f>
        <x:v>0.9645038167938931</x:v>
      </x:c>
      <x:c r="H17" s="74" t="n">
        <x:f>F17*1000/D17</x:f>
        <x:v>37.900763358778626</x:v>
      </x:c>
      <x:c r="I17" s="39" t="str">
        <x:v>Current / tracked</x:v>
      </x:c>
      <x:c r="J17" s="39" t="str">
        <x:v>Epoch modeled full-stack replacement capex</x:v>
      </x:c>
      <x:c r="K17" s="39" t="str">
        <x:v>S01,S02</x:v>
      </x:c>
      <x:c r="L17" s="39" t="str">
        <x:v>https://epoch.ai/data/ai-data-centers</x:v>
      </x:c>
    </x:row>
    <x:row r="18">
      <x:c r="A18" s="48" t="str">
        <x:v>Alphabet / Google</x:v>
      </x:c>
      <x:c r="B18" s="48" t="str">
        <x:v>Google</x:v>
      </x:c>
      <x:c r="C18" s="48" t="str">
        <x:v>Bristow</x:v>
      </x:c>
      <x:c r="D18" s="66" t="n">
        <x:v>238</x:v>
      </x:c>
      <x:c r="E18" s="66" t="n">
        <x:v>239.3</x:v>
      </x:c>
      <x:c r="F18" s="70" t="n">
        <x:v>9.02</x:v>
      </x:c>
      <x:c r="G18" s="74" t="n">
        <x:f>E18/D18</x:f>
        <x:v>1.0054621848739496</x:v>
      </x:c>
      <x:c r="H18" s="74" t="n">
        <x:f>F18*1000/D18</x:f>
        <x:v>37.89915966386555</x:v>
      </x:c>
      <x:c r="I18" s="39" t="str">
        <x:v>Current / tracked</x:v>
      </x:c>
      <x:c r="J18" s="39" t="str">
        <x:v>Epoch modeled full-stack replacement capex</x:v>
      </x:c>
      <x:c r="K18" s="39" t="str">
        <x:v>S01,S02</x:v>
      </x:c>
      <x:c r="L18" s="39" t="str">
        <x:v>https://epoch.ai/data/ai-data-centers</x:v>
      </x:c>
    </x:row>
    <x:row r="19">
      <x:c r="A19" s="48" t="str">
        <x:v>Alphabet / Google</x:v>
      </x:c>
      <x:c r="B19" s="48" t="str">
        <x:v>Google</x:v>
      </x:c>
      <x:c r="C19" s="48" t="str">
        <x:v>Council Bluffs East</x:v>
      </x:c>
      <x:c r="D19" s="66" t="n">
        <x:v>237</x:v>
      </x:c>
      <x:c r="E19" s="66" t="n">
        <x:v>289</x:v>
      </x:c>
      <x:c r="F19" s="70" t="n">
        <x:v>8.98</x:v>
      </x:c>
      <x:c r="G19" s="74" t="n">
        <x:f>E19/D19</x:f>
        <x:v>1.219409282700422</x:v>
      </x:c>
      <x:c r="H19" s="74" t="n">
        <x:f>F19*1000/D19</x:f>
        <x:v>37.89029535864979</x:v>
      </x:c>
      <x:c r="I19" s="39" t="str">
        <x:v>Current / tracked</x:v>
      </x:c>
      <x:c r="J19" s="39" t="str">
        <x:v>Epoch modeled full-stack replacement capex</x:v>
      </x:c>
      <x:c r="K19" s="39" t="str">
        <x:v>S01,S02</x:v>
      </x:c>
      <x:c r="L19" s="39" t="str">
        <x:v>https://epoch.ai/data/ai-data-centers</x:v>
      </x:c>
    </x:row>
    <x:row r="20">
      <x:c r="A20" s="48" t="str">
        <x:v>Alphabet / Google</x:v>
      </x:c>
      <x:c r="B20" s="48" t="str">
        <x:v>Google</x:v>
      </x:c>
      <x:c r="C20" s="48" t="str">
        <x:v>Omaha</x:v>
      </x:c>
      <x:c r="D20" s="66" t="n">
        <x:v>237</x:v>
      </x:c>
      <x:c r="E20" s="66" t="n">
        <x:v>267.8</x:v>
      </x:c>
      <x:c r="F20" s="70" t="n">
        <x:v>8.98</x:v>
      </x:c>
      <x:c r="G20" s="74" t="n">
        <x:f>E20/D20</x:f>
        <x:v>1.129957805907173</x:v>
      </x:c>
      <x:c r="H20" s="74" t="n">
        <x:f>F20*1000/D20</x:f>
        <x:v>37.89029535864979</x:v>
      </x:c>
      <x:c r="I20" s="39" t="str">
        <x:v>Current / tracked</x:v>
      </x:c>
      <x:c r="J20" s="39" t="str">
        <x:v>Epoch modeled full-stack replacement capex</x:v>
      </x:c>
      <x:c r="K20" s="39" t="str">
        <x:v>S01,S02</x:v>
      </x:c>
      <x:c r="L20" s="39" t="str">
        <x:v>https://epoch.ai/data/ai-data-centers</x:v>
      </x:c>
    </x:row>
    <x:row r="21">
      <x:c r="A21" s="48" t="str">
        <x:v>Alphabet / Google</x:v>
      </x:c>
      <x:c r="B21" s="48" t="str">
        <x:v>Google</x:v>
      </x:c>
      <x:c r="C21" s="48" t="str">
        <x:v>Papillion</x:v>
      </x:c>
      <x:c r="D21" s="66" t="n">
        <x:v>237</x:v>
      </x:c>
      <x:c r="E21" s="66" t="n">
        <x:v>80.3</x:v>
      </x:c>
      <x:c r="F21" s="70" t="n">
        <x:v>8.98</x:v>
      </x:c>
      <x:c r="G21" s="74" t="n">
        <x:f>E21/D21</x:f>
        <x:v>0.3388185654008439</x:v>
      </x:c>
      <x:c r="H21" s="74" t="n">
        <x:f>F21*1000/D21</x:f>
        <x:v>37.89029535864979</x:v>
      </x:c>
      <x:c r="I21" s="39" t="str">
        <x:v>Current / tracked</x:v>
      </x:c>
      <x:c r="J21" s="39" t="str">
        <x:v>Epoch modeled full-stack replacement capex</x:v>
      </x:c>
      <x:c r="K21" s="39" t="str">
        <x:v>S01,S02</x:v>
      </x:c>
      <x:c r="L21" s="39" t="str">
        <x:v>https://epoch.ai/data/ai-data-centers</x:v>
      </x:c>
    </x:row>
    <x:row r="22">
      <x:c r="A22" s="48" t="str">
        <x:v>Amazon / AWS</x:v>
      </x:c>
      <x:c r="B22" s="48" t="str">
        <x:v>Amazon</x:v>
      </x:c>
      <x:c r="C22" s="48" t="str">
        <x:v>Ridgeland</x:v>
      </x:c>
      <x:c r="D22" s="66" t="n">
        <x:v>228</x:v>
      </x:c>
      <x:c r="E22" s="66" t="n">
        <x:v>171.3</x:v>
      </x:c>
      <x:c r="F22" s="70" t="n">
        <x:v>8.64</x:v>
      </x:c>
      <x:c r="G22" s="74" t="n">
        <x:f>E22/D22</x:f>
        <x:v>0.7513157894736843</x:v>
      </x:c>
      <x:c r="H22" s="74" t="n">
        <x:f>F22*1000/D22</x:f>
        <x:v>37.89473684210526</x:v>
      </x:c>
      <x:c r="I22" s="39" t="str">
        <x:v>Current / tracked</x:v>
      </x:c>
      <x:c r="J22" s="39" t="str">
        <x:v>Epoch modeled full-stack replacement capex</x:v>
      </x:c>
      <x:c r="K22" s="39" t="str">
        <x:v>S01,S02</x:v>
      </x:c>
      <x:c r="L22" s="39" t="str">
        <x:v>https://epoch.ai/data/ai-data-centers</x:v>
      </x:c>
    </x:row>
    <x:row r="23">
      <x:c r="A23" s="48" t="str">
        <x:v>Amazon / AWS</x:v>
      </x:c>
      <x:c r="B23" s="48" t="str">
        <x:v>Amazon</x:v>
      </x:c>
      <x:c r="C23" s="48" t="str">
        <x:v>New Albany</x:v>
      </x:c>
      <x:c r="D23" s="66" t="n">
        <x:v>213</x:v>
      </x:c>
      <x:c r="E23" s="66" t="n">
        <x:v>201.1</x:v>
      </x:c>
      <x:c r="F23" s="70" t="n">
        <x:v>8.07</x:v>
      </x:c>
      <x:c r="G23" s="74" t="n">
        <x:f>E23/D23</x:f>
        <x:v>0.944131455399061</x:v>
      </x:c>
      <x:c r="H23" s="74" t="n">
        <x:f>F23*1000/D23</x:f>
        <x:v>37.88732394366197</x:v>
      </x:c>
      <x:c r="I23" s="39" t="str">
        <x:v>Current / tracked</x:v>
      </x:c>
      <x:c r="J23" s="39" t="str">
        <x:v>Epoch modeled full-stack replacement capex</x:v>
      </x:c>
      <x:c r="K23" s="39" t="str">
        <x:v>S01,S02</x:v>
      </x:c>
      <x:c r="L23" s="39" t="str">
        <x:v>https://epoch.ai/data/ai-data-centers</x:v>
      </x:c>
    </x:row>
    <x:row r="24">
      <x:c r="A24" s="48" t="str">
        <x:v>Microsoft</x:v>
      </x:c>
      <x:c r="B24" s="48" t="str">
        <x:v>Microsoft</x:v>
      </x:c>
      <x:c r="C24" s="48" t="str">
        <x:v>Goodyear</x:v>
      </x:c>
      <x:c r="D24" s="66" t="n">
        <x:v>202</x:v>
      </x:c>
      <x:c r="E24" s="66" t="n">
        <x:v>205.2</x:v>
      </x:c>
      <x:c r="F24" s="70" t="n">
        <x:v>7.65</x:v>
      </x:c>
      <x:c r="G24" s="74" t="n">
        <x:f>E24/D24</x:f>
        <x:v>1.0158415841584159</x:v>
      </x:c>
      <x:c r="H24" s="74" t="n">
        <x:f>F24*1000/D24</x:f>
        <x:v>37.87128712871287</x:v>
      </x:c>
      <x:c r="I24" s="39" t="str">
        <x:v>Current / tracked</x:v>
      </x:c>
      <x:c r="J24" s="39" t="str">
        <x:v>Epoch modeled full-stack replacement capex</x:v>
      </x:c>
      <x:c r="K24" s="39" t="str">
        <x:v>S01,S02</x:v>
      </x:c>
      <x:c r="L24" s="39" t="str">
        <x:v>https://epoch.ai/data/ai-data-centers</x:v>
      </x:c>
    </x:row>
    <x:row r="25">
      <x:c r="A25" s="48" t="str">
        <x:v>Microsoft</x:v>
      </x:c>
      <x:c r="B25" s="48" t="str">
        <x:v>Microsoft</x:v>
      </x:c>
      <x:c r="C25" s="48" t="str">
        <x:v>Project Osmium</x:v>
      </x:c>
      <x:c r="D25" s="66" t="n">
        <x:v>190</x:v>
      </x:c>
      <x:c r="E25" s="66" t="n">
        <x:v>155.6</x:v>
      </x:c>
      <x:c r="F25" s="70" t="n">
        <x:v>7.2</x:v>
      </x:c>
      <x:c r="G25" s="74" t="n">
        <x:f>E25/D25</x:f>
        <x:v>0.8189473684210526</x:v>
      </x:c>
      <x:c r="H25" s="74" t="n">
        <x:f>F25*1000/D25</x:f>
        <x:v>37.89473684210526</x:v>
      </x:c>
      <x:c r="I25" s="39" t="str">
        <x:v>Current / tracked</x:v>
      </x:c>
      <x:c r="J25" s="39" t="str">
        <x:v>Epoch modeled full-stack replacement capex</x:v>
      </x:c>
      <x:c r="K25" s="39" t="str">
        <x:v>S01,S02</x:v>
      </x:c>
      <x:c r="L25" s="39" t="str">
        <x:v>https://epoch.ai/data/ai-data-centers</x:v>
      </x:c>
    </x:row>
    <x:row r="26">
      <x:c r="A26" s="48" t="str">
        <x:v>Alphabet / Google</x:v>
      </x:c>
      <x:c r="B26" s="48" t="str">
        <x:v>Google</x:v>
      </x:c>
      <x:c r="C26" s="48" t="str">
        <x:v>Mesa</x:v>
      </x:c>
      <x:c r="D26" s="66" t="n">
        <x:v>183</x:v>
      </x:c>
      <x:c r="E26" s="66" t="n">
        <x:v>343.1</x:v>
      </x:c>
      <x:c r="F26" s="70" t="n">
        <x:v>6.93</x:v>
      </x:c>
      <x:c r="G26" s="74" t="n">
        <x:f>E26/D26</x:f>
        <x:v>1.8748633879781422</x:v>
      </x:c>
      <x:c r="H26" s="74" t="n">
        <x:f>F26*1000/D26</x:f>
        <x:v>37.868852459016395</x:v>
      </x:c>
      <x:c r="I26" s="39" t="str">
        <x:v>Current / tracked</x:v>
      </x:c>
      <x:c r="J26" s="39" t="str">
        <x:v>Epoch modeled full-stack replacement capex</x:v>
      </x:c>
      <x:c r="K26" s="39" t="str">
        <x:v>S01,S02</x:v>
      </x:c>
      <x:c r="L26" s="39" t="str">
        <x:v>https://epoch.ai/data/ai-data-centers</x:v>
      </x:c>
    </x:row>
    <x:row r="27">
      <x:c r="A27" s="48" t="str">
        <x:v>Meta</x:v>
      </x:c>
      <x:c r="B27" s="48" t="str">
        <x:v>Meta / QTS</x:v>
      </x:c>
      <x:c r="C27" s="48" t="str">
        <x:v>Hillsboro 2</x:v>
      </x:c>
      <x:c r="D27" s="66" t="n">
        <x:v>180</x:v>
      </x:c>
      <x:c r="E27" s="66" t="n">
        <x:v>123.8</x:v>
      </x:c>
      <x:c r="F27" s="70" t="n">
        <x:v>6.82</x:v>
      </x:c>
      <x:c r="G27" s="74" t="n">
        <x:f>E27/D27</x:f>
        <x:v>0.6877777777777777</x:v>
      </x:c>
      <x:c r="H27" s="74" t="n">
        <x:f>F27*1000/D27</x:f>
        <x:v>37.888888888888886</x:v>
      </x:c>
      <x:c r="I27" s="39" t="str">
        <x:v>Current / tracked</x:v>
      </x:c>
      <x:c r="J27" s="39" t="str">
        <x:v>Epoch modeled full-stack replacement capex</x:v>
      </x:c>
      <x:c r="K27" s="39" t="str">
        <x:v>S01,S02</x:v>
      </x:c>
      <x:c r="L27" s="39" t="str">
        <x:v>https://epoch.ai/data/ai-data-centers</x:v>
      </x:c>
    </x:row>
    <x:row r="28">
      <x:c r="A28" s="48" t="str">
        <x:v>Meta</x:v>
      </x:c>
      <x:c r="B28" s="48" t="str">
        <x:v>Meta</x:v>
      </x:c>
      <x:c r="C28" s="48" t="str">
        <x:v>Jeffersonville</x:v>
      </x:c>
      <x:c r="D28" s="66" t="n">
        <x:v>178</x:v>
      </x:c>
      <x:c r="E28" s="66" t="n">
        <x:v>203.1</x:v>
      </x:c>
      <x:c r="F28" s="70" t="n">
        <x:v>6.74</x:v>
      </x:c>
      <x:c r="G28" s="74" t="n">
        <x:f>E28/D28</x:f>
        <x:v>1.1410112359550562</x:v>
      </x:c>
      <x:c r="H28" s="74" t="n">
        <x:f>F28*1000/D28</x:f>
        <x:v>37.86516853932584</x:v>
      </x:c>
      <x:c r="I28" s="39" t="str">
        <x:v>Current / tracked</x:v>
      </x:c>
      <x:c r="J28" s="39" t="str">
        <x:v>Epoch modeled full-stack replacement capex</x:v>
      </x:c>
      <x:c r="K28" s="39" t="str">
        <x:v>S01,S02</x:v>
      </x:c>
      <x:c r="L28" s="39" t="str">
        <x:v>https://epoch.ai/data/ai-data-centers</x:v>
      </x:c>
    </x:row>
    <x:row r="29">
      <x:c r="A29" s="48" t="str">
        <x:v>Meta</x:v>
      </x:c>
      <x:c r="B29" s="48" t="str">
        <x:v>Meta</x:v>
      </x:c>
      <x:c r="C29" s="48" t="str">
        <x:v>Rosemount</x:v>
      </x:c>
      <x:c r="D29" s="66" t="n">
        <x:v>178</x:v>
      </x:c>
      <x:c r="E29" s="66" t="n">
        <x:v>215.8</x:v>
      </x:c>
      <x:c r="F29" s="70" t="n">
        <x:v>6.74</x:v>
      </x:c>
      <x:c r="G29" s="74" t="n">
        <x:f>E29/D29</x:f>
        <x:v>1.212359550561798</x:v>
      </x:c>
      <x:c r="H29" s="74" t="n">
        <x:f>F29*1000/D29</x:f>
        <x:v>37.86516853932584</x:v>
      </x:c>
      <x:c r="I29" s="39" t="str">
        <x:v>Current / tracked</x:v>
      </x:c>
      <x:c r="J29" s="39" t="str">
        <x:v>Epoch modeled full-stack replacement capex</x:v>
      </x:c>
      <x:c r="K29" s="39" t="str">
        <x:v>S01,S02</x:v>
      </x:c>
      <x:c r="L29" s="39" t="str">
        <x:v>https://epoch.ai/data/ai-data-centers</x:v>
      </x:c>
    </x:row>
    <x:row r="30">
      <x:c r="A30" s="48" t="str">
        <x:v>Alphabet / Google</x:v>
      </x:c>
      <x:c r="B30" s="48" t="str">
        <x:v>Google</x:v>
      </x:c>
      <x:c r="C30" s="48" t="str">
        <x:v>Storey</x:v>
      </x:c>
      <x:c r="D30" s="66" t="n">
        <x:v>161</x:v>
      </x:c>
      <x:c r="E30" s="66" t="n">
        <x:v>153.6</x:v>
      </x:c>
      <x:c r="F30" s="70" t="n">
        <x:v>6.1</x:v>
      </x:c>
      <x:c r="G30" s="74" t="n">
        <x:f>E30/D30</x:f>
        <x:v>0.9540372670807453</x:v>
      </x:c>
      <x:c r="H30" s="74" t="n">
        <x:f>F30*1000/D30</x:f>
        <x:v>37.88819875776397</x:v>
      </x:c>
      <x:c r="I30" s="39" t="str">
        <x:v>Current / tracked</x:v>
      </x:c>
      <x:c r="J30" s="39" t="str">
        <x:v>Epoch modeled full-stack replacement capex</x:v>
      </x:c>
      <x:c r="K30" s="39" t="str">
        <x:v>S01,S02</x:v>
      </x:c>
      <x:c r="L30" s="39" t="str">
        <x:v>https://epoch.ai/data/ai-data-centers</x:v>
      </x:c>
    </x:row>
    <x:row r="31">
      <x:c r="A31" s="48" t="str">
        <x:v>Alphabet / Google</x:v>
      </x:c>
      <x:c r="B31" s="48" t="str">
        <x:v>Google</x:v>
      </x:c>
      <x:c r="C31" s="48" t="str">
        <x:v>The Dalles</x:v>
      </x:c>
      <x:c r="D31" s="66" t="n">
        <x:v>154</x:v>
      </x:c>
      <x:c r="E31" s="66" t="n">
        <x:v>201.6</x:v>
      </x:c>
      <x:c r="F31" s="70" t="n">
        <x:v>5.83</x:v>
      </x:c>
      <x:c r="G31" s="74" t="n">
        <x:f>E31/D31</x:f>
        <x:v>1.309090909090909</x:v>
      </x:c>
      <x:c r="H31" s="74" t="n">
        <x:f>F31*1000/D31</x:f>
        <x:v>37.857142857142854</x:v>
      </x:c>
      <x:c r="I31" s="39" t="str">
        <x:v>Current / tracked</x:v>
      </x:c>
      <x:c r="J31" s="39" t="str">
        <x:v>Epoch modeled full-stack replacement capex</x:v>
      </x:c>
      <x:c r="K31" s="39" t="str">
        <x:v>S01,S02</x:v>
      </x:c>
      <x:c r="L31" s="39" t="str">
        <x:v>https://epoch.ai/data/ai-data-centers</x:v>
      </x:c>
    </x:row>
    <x:row r="32">
      <x:c r="A32" s="48" t="str">
        <x:v>Meta</x:v>
      </x:c>
      <x:c r="B32" s="48" t="str">
        <x:v>Meta</x:v>
      </x:c>
      <x:c r="C32" s="48" t="str">
        <x:v>Montgomery</x:v>
      </x:c>
      <x:c r="D32" s="66" t="n">
        <x:v>153</x:v>
      </x:c>
      <x:c r="E32" s="66" t="n">
        <x:v>174.5</x:v>
      </x:c>
      <x:c r="F32" s="70" t="n">
        <x:v>5.8</x:v>
      </x:c>
      <x:c r="G32" s="74" t="n">
        <x:f>E32/D32</x:f>
        <x:v>1.1405228758169934</x:v>
      </x:c>
      <x:c r="H32" s="74" t="n">
        <x:f>F32*1000/D32</x:f>
        <x:v>37.908496732026144</x:v>
      </x:c>
      <x:c r="I32" s="39" t="str">
        <x:v>Current / tracked</x:v>
      </x:c>
      <x:c r="J32" s="39" t="str">
        <x:v>Epoch modeled full-stack replacement capex</x:v>
      </x:c>
      <x:c r="K32" s="39" t="str">
        <x:v>S01,S02</x:v>
      </x:c>
      <x:c r="L32" s="39" t="str">
        <x:v>https://epoch.ai/data/ai-data-centers</x:v>
      </x:c>
    </x:row>
    <x:row r="33">
      <x:c r="A33" s="48" t="str">
        <x:v>Meta</x:v>
      </x:c>
      <x:c r="B33" s="48" t="str">
        <x:v>Meta</x:v>
      </x:c>
      <x:c r="C33" s="48" t="str">
        <x:v>Cheyenne</x:v>
      </x:c>
      <x:c r="D33" s="66" t="n">
        <x:v>152</x:v>
      </x:c>
      <x:c r="E33" s="66" t="n">
        <x:v>172.8</x:v>
      </x:c>
      <x:c r="F33" s="70" t="n">
        <x:v>5.76</x:v>
      </x:c>
      <x:c r="G33" s="74" t="n">
        <x:f>E33/D33</x:f>
        <x:v>1.1368421052631579</x:v>
      </x:c>
      <x:c r="H33" s="74" t="n">
        <x:f>F33*1000/D33</x:f>
        <x:v>37.89473684210526</x:v>
      </x:c>
      <x:c r="I33" s="39" t="str">
        <x:v>Current / tracked</x:v>
      </x:c>
      <x:c r="J33" s="39" t="str">
        <x:v>Epoch modeled full-stack replacement capex</x:v>
      </x:c>
      <x:c r="K33" s="39" t="str">
        <x:v>S01,S02</x:v>
      </x:c>
      <x:c r="L33" s="39" t="str">
        <x:v>https://epoch.ai/data/ai-data-centers</x:v>
      </x:c>
    </x:row>
    <x:row r="34">
      <x:c r="A34" s="48" t="str">
        <x:v>Meta</x:v>
      </x:c>
      <x:c r="B34" s="48" t="str">
        <x:v>Meta</x:v>
      </x:c>
      <x:c r="C34" s="48" t="str">
        <x:v>Kuna</x:v>
      </x:c>
      <x:c r="D34" s="66" t="n">
        <x:v>152</x:v>
      </x:c>
      <x:c r="E34" s="66" t="n">
        <x:v>173.3</x:v>
      </x:c>
      <x:c r="F34" s="70" t="n">
        <x:v>5.76</x:v>
      </x:c>
      <x:c r="G34" s="74" t="n">
        <x:f>E34/D34</x:f>
        <x:v>1.1401315789473685</x:v>
      </x:c>
      <x:c r="H34" s="74" t="n">
        <x:f>F34*1000/D34</x:f>
        <x:v>37.89473684210526</x:v>
      </x:c>
      <x:c r="I34" s="39" t="str">
        <x:v>Current / tracked</x:v>
      </x:c>
      <x:c r="J34" s="39" t="str">
        <x:v>Epoch modeled full-stack replacement capex</x:v>
      </x:c>
      <x:c r="K34" s="39" t="str">
        <x:v>S01,S02</x:v>
      </x:c>
      <x:c r="L34" s="39" t="str">
        <x:v>https://epoch.ai/data/ai-data-centers</x:v>
      </x:c>
    </x:row>
    <x:row r="35">
      <x:c r="A35" s="48" t="str">
        <x:v>Meta</x:v>
      </x:c>
      <x:c r="B35" s="48" t="str">
        <x:v>Meta</x:v>
      </x:c>
      <x:c r="C35" s="48" t="str">
        <x:v>Temple</x:v>
      </x:c>
      <x:c r="D35" s="66" t="n">
        <x:v>152</x:v>
      </x:c>
      <x:c r="E35" s="66" t="n">
        <x:v>173.2</x:v>
      </x:c>
      <x:c r="F35" s="70" t="n">
        <x:v>5.76</x:v>
      </x:c>
      <x:c r="G35" s="74" t="n">
        <x:f>E35/D35</x:f>
        <x:v>1.1394736842105262</x:v>
      </x:c>
      <x:c r="H35" s="74" t="n">
        <x:f>F35*1000/D35</x:f>
        <x:v>37.89473684210526</x:v>
      </x:c>
      <x:c r="I35" s="39" t="str">
        <x:v>Current / tracked</x:v>
      </x:c>
      <x:c r="J35" s="39" t="str">
        <x:v>Epoch modeled full-stack replacement capex</x:v>
      </x:c>
      <x:c r="K35" s="39" t="str">
        <x:v>S01,S02</x:v>
      </x:c>
      <x:c r="L35" s="39" t="str">
        <x:v>https://epoch.ai/data/ai-data-centers</x:v>
      </x:c>
    </x:row>
    <x:row r="36">
      <x:c r="A36" s="48" t="str">
        <x:v>Meta</x:v>
      </x:c>
      <x:c r="B36" s="48" t="str">
        <x:v>Meta</x:v>
      </x:c>
      <x:c r="C36" s="48" t="str">
        <x:v>Huntsville</x:v>
      </x:c>
      <x:c r="D36" s="66" t="n">
        <x:v>146</x:v>
      </x:c>
      <x:c r="E36" s="66" t="n">
        <x:v>166.8</x:v>
      </x:c>
      <x:c r="F36" s="70" t="n">
        <x:v>5.53</x:v>
      </x:c>
      <x:c r="G36" s="74" t="n">
        <x:f>E36/D36</x:f>
        <x:v>1.1424657534246576</x:v>
      </x:c>
      <x:c r="H36" s="74" t="n">
        <x:f>F36*1000/D36</x:f>
        <x:v>37.87671232876713</x:v>
      </x:c>
      <x:c r="I36" s="39" t="str">
        <x:v>Current / tracked</x:v>
      </x:c>
      <x:c r="J36" s="39" t="str">
        <x:v>Epoch modeled full-stack replacement capex</x:v>
      </x:c>
      <x:c r="K36" s="39" t="str">
        <x:v>S01,S02</x:v>
      </x:c>
      <x:c r="L36" s="39" t="str">
        <x:v>https://epoch.ai/data/ai-data-centers</x:v>
      </x:c>
    </x:row>
    <x:row r="37">
      <x:c r="A37" s="48" t="str">
        <x:v>Meta</x:v>
      </x:c>
      <x:c r="B37" s="48" t="str">
        <x:v>Meta</x:v>
      </x:c>
      <x:c r="C37" s="48" t="str">
        <x:v>Aiken</x:v>
      </x:c>
      <x:c r="D37" s="66" t="n">
        <x:v>142</x:v>
      </x:c>
      <x:c r="E37" s="66" t="n">
        <x:v>161.7</x:v>
      </x:c>
      <x:c r="F37" s="70" t="n">
        <x:v>5.38</x:v>
      </x:c>
      <x:c r="G37" s="74" t="n">
        <x:f>E37/D37</x:f>
        <x:v>1.138732394366197</x:v>
      </x:c>
      <x:c r="H37" s="74" t="n">
        <x:f>F37*1000/D37</x:f>
        <x:v>37.88732394366197</x:v>
      </x:c>
      <x:c r="I37" s="39" t="str">
        <x:v>Current / tracked</x:v>
      </x:c>
      <x:c r="J37" s="39" t="str">
        <x:v>Epoch modeled full-stack replacement capex</x:v>
      </x:c>
      <x:c r="K37" s="39" t="str">
        <x:v>S01,S02</x:v>
      </x:c>
      <x:c r="L37" s="39" t="str">
        <x:v>https://epoch.ai/data/ai-data-centers</x:v>
      </x:c>
    </x:row>
    <x:row r="38">
      <x:c r="A38" s="48" t="str">
        <x:v>Alphabet / Google</x:v>
      </x:c>
      <x:c r="B38" s="48" t="str">
        <x:v>Google</x:v>
      </x:c>
      <x:c r="C38" s="48" t="str">
        <x:v>Lincoln</x:v>
      </x:c>
      <x:c r="D38" s="66" t="n">
        <x:v>141</x:v>
      </x:c>
      <x:c r="E38" s="66" t="n">
        <x:v>287.5</x:v>
      </x:c>
      <x:c r="F38" s="70" t="n">
        <x:v>5.34</x:v>
      </x:c>
      <x:c r="G38" s="74" t="n">
        <x:f>E38/D38</x:f>
        <x:v>2.0390070921985815</x:v>
      </x:c>
      <x:c r="H38" s="74" t="n">
        <x:f>F38*1000/D38</x:f>
        <x:v>37.87234042553192</x:v>
      </x:c>
      <x:c r="I38" s="39" t="str">
        <x:v>Current / tracked</x:v>
      </x:c>
      <x:c r="J38" s="39" t="str">
        <x:v>Epoch modeled full-stack replacement capex</x:v>
      </x:c>
      <x:c r="K38" s="39" t="str">
        <x:v>S01,S02</x:v>
      </x:c>
      <x:c r="L38" s="39" t="str">
        <x:v>https://epoch.ai/data/ai-data-centers</x:v>
      </x:c>
    </x:row>
    <x:row r="39">
      <x:c r="A39" s="48" t="str">
        <x:v>Alphabet / Google</x:v>
      </x:c>
      <x:c r="B39" s="48" t="str">
        <x:v>Google</x:v>
      </x:c>
      <x:c r="C39" s="48" t="str">
        <x:v>Lancaster</x:v>
      </x:c>
      <x:c r="D39" s="66" t="n">
        <x:v>137</x:v>
      </x:c>
      <x:c r="E39" s="66" t="n">
        <x:v>130.4</x:v>
      </x:c>
      <x:c r="F39" s="70" t="n">
        <x:v>5.19</x:v>
      </x:c>
      <x:c r="G39" s="74" t="n">
        <x:f>E39/D39</x:f>
        <x:v>0.9518248175182482</x:v>
      </x:c>
      <x:c r="H39" s="74" t="n">
        <x:f>F39*1000/D39</x:f>
        <x:v>37.88321167883212</x:v>
      </x:c>
      <x:c r="I39" s="39" t="str">
        <x:v>Current / tracked</x:v>
      </x:c>
      <x:c r="J39" s="39" t="str">
        <x:v>Epoch modeled full-stack replacement capex</x:v>
      </x:c>
      <x:c r="K39" s="39" t="str">
        <x:v>S01,S02</x:v>
      </x:c>
      <x:c r="L39" s="39" t="str">
        <x:v>https://epoch.ai/data/ai-data-centers</x:v>
      </x:c>
    </x:row>
    <x:row r="40">
      <x:c r="A40" s="48" t="str">
        <x:v>Meta</x:v>
      </x:c>
      <x:c r="B40" s="48" t="str">
        <x:v>Meta</x:v>
      </x:c>
      <x:c r="C40" s="48" t="str">
        <x:v>Eagle Mountain</x:v>
      </x:c>
      <x:c r="D40" s="66" t="n">
        <x:v>133</x:v>
      </x:c>
      <x:c r="E40" s="66" t="n">
        <x:v>151.4</x:v>
      </x:c>
      <x:c r="F40" s="70" t="n">
        <x:v>5.04</x:v>
      </x:c>
      <x:c r="G40" s="74" t="n">
        <x:f>E40/D40</x:f>
        <x:v>1.1383458646616542</x:v>
      </x:c>
      <x:c r="H40" s="74" t="n">
        <x:f>F40*1000/D40</x:f>
        <x:v>37.89473684210526</x:v>
      </x:c>
      <x:c r="I40" s="39" t="str">
        <x:v>Current / tracked</x:v>
      </x:c>
      <x:c r="J40" s="39" t="str">
        <x:v>Epoch modeled full-stack replacement capex</x:v>
      </x:c>
      <x:c r="K40" s="39" t="str">
        <x:v>S01,S02</x:v>
      </x:c>
      <x:c r="L40" s="39" t="str">
        <x:v>https://epoch.ai/data/ai-data-centers</x:v>
      </x:c>
    </x:row>
    <x:row r="41">
      <x:c r="A41" s="48" t="str">
        <x:v>CoreWeave</x:v>
      </x:c>
      <x:c r="B41" s="48" t="str">
        <x:v>CoreWeave</x:v>
      </x:c>
      <x:c r="C41" s="48" t="str">
        <x:v>Helios</x:v>
      </x:c>
      <x:c r="D41" s="66" t="n">
        <x:v>132</x:v>
      </x:c>
      <x:c r="E41" s="66" t="n">
        <x:v>159.6</x:v>
      </x:c>
      <x:c r="F41" s="70" t="n">
        <x:v>5</x:v>
      </x:c>
      <x:c r="G41" s="74" t="n">
        <x:f>E41/D41</x:f>
        <x:v>1.209090909090909</x:v>
      </x:c>
      <x:c r="H41" s="74" t="n">
        <x:f>F41*1000/D41</x:f>
        <x:v>37.878787878787875</x:v>
      </x:c>
      <x:c r="I41" s="39" t="str">
        <x:v>Current / tracked</x:v>
      </x:c>
      <x:c r="J41" s="39" t="str">
        <x:v>Epoch modeled full-stack replacement capex</x:v>
      </x:c>
      <x:c r="K41" s="39" t="str">
        <x:v>S01,S02</x:v>
      </x:c>
      <x:c r="L41" s="39" t="str">
        <x:v>https://epoch.ai/data/ai-data-centers</x:v>
      </x:c>
    </x:row>
    <x:row r="42">
      <x:c r="A42" s="48" t="str">
        <x:v>Amazon / AWS</x:v>
      </x:c>
      <x:c r="B42" s="48" t="str">
        <x:v>Amazon</x:v>
      </x:c>
      <x:c r="C42" s="48" t="str">
        <x:v>Berwick</x:v>
      </x:c>
      <x:c r="D42" s="66" t="n">
        <x:v>108</x:v>
      </x:c>
      <x:c r="E42" s="66" t="n">
        <x:v>81.4</x:v>
      </x:c>
      <x:c r="F42" s="70" t="n">
        <x:v>4.09</x:v>
      </x:c>
      <x:c r="G42" s="74" t="n">
        <x:f>E42/D42</x:f>
        <x:v>0.7537037037037038</x:v>
      </x:c>
      <x:c r="H42" s="74" t="n">
        <x:f>F42*1000/D42</x:f>
        <x:v>37.870370370370374</x:v>
      </x:c>
      <x:c r="I42" s="39" t="str">
        <x:v>Current / tracked</x:v>
      </x:c>
      <x:c r="J42" s="39" t="str">
        <x:v>Epoch modeled full-stack replacement capex</x:v>
      </x:c>
      <x:c r="K42" s="39" t="str">
        <x:v>S01,S02</x:v>
      </x:c>
      <x:c r="L42" s="39" t="str">
        <x:v>https://epoch.ai/data/ai-data-centers</x:v>
      </x:c>
    </x:row>
    <x:row r="43">
      <x:c r="A43" s="48" t="str">
        <x:v>Alphabet / Google</x:v>
      </x:c>
      <x:c r="B43" s="48" t="str">
        <x:v>Google</x:v>
      </x:c>
      <x:c r="C43" s="48" t="str">
        <x:v>Kansas City East</x:v>
      </x:c>
      <x:c r="D43" s="66" t="n">
        <x:v>105</x:v>
      </x:c>
      <x:c r="E43" s="66" t="n">
        <x:v>244.6</x:v>
      </x:c>
      <x:c r="F43" s="70" t="n">
        <x:v>3.98</x:v>
      </x:c>
      <x:c r="G43" s="74" t="n">
        <x:f>E43/D43</x:f>
        <x:v>2.3295238095238093</x:v>
      </x:c>
      <x:c r="H43" s="74" t="n">
        <x:f>F43*1000/D43</x:f>
        <x:v>37.904761904761905</x:v>
      </x:c>
      <x:c r="I43" s="39" t="str">
        <x:v>Current / tracked</x:v>
      </x:c>
      <x:c r="J43" s="39" t="str">
        <x:v>Epoch modeled full-stack replacement capex</x:v>
      </x:c>
      <x:c r="K43" s="39" t="str">
        <x:v>S01,S02</x:v>
      </x:c>
      <x:c r="L43" s="39" t="str">
        <x:v>https://epoch.ai/data/ai-data-centers</x:v>
      </x:c>
    </x:row>
    <x:row r="44">
      <x:c r="A44" s="48" t="str">
        <x:v>Alphabet / Google</x:v>
      </x:c>
      <x:c r="B44" s="48" t="str">
        <x:v>Google</x:v>
      </x:c>
      <x:c r="C44" s="48" t="str">
        <x:v>Midlothian</x:v>
      </x:c>
      <x:c r="D44" s="66" t="n">
        <x:v>103</x:v>
      </x:c>
      <x:c r="E44" s="66" t="n">
        <x:v>191</x:v>
      </x:c>
      <x:c r="F44" s="70" t="n">
        <x:v>3.9</x:v>
      </x:c>
      <x:c r="G44" s="74" t="n">
        <x:f>E44/D44</x:f>
        <x:v>1.854368932038835</x:v>
      </x:c>
      <x:c r="H44" s="74" t="n">
        <x:f>F44*1000/D44</x:f>
        <x:v>37.86407766990291</x:v>
      </x:c>
      <x:c r="I44" s="39" t="str">
        <x:v>Current / tracked</x:v>
      </x:c>
      <x:c r="J44" s="39" t="str">
        <x:v>Epoch modeled full-stack replacement capex</x:v>
      </x:c>
      <x:c r="K44" s="39" t="str">
        <x:v>S01,S02</x:v>
      </x:c>
      <x:c r="L44" s="39" t="str">
        <x:v>https://epoch.ai/data/ai-data-centers</x:v>
      </x:c>
    </x:row>
    <x:row r="45">
      <x:c r="A45" s="48" t="str">
        <x:v>Alphabet / Google</x:v>
      </x:c>
      <x:c r="B45" s="48" t="str">
        <x:v>Google</x:v>
      </x:c>
      <x:c r="C45" s="48" t="str">
        <x:v>Waltham Cross</x:v>
      </x:c>
      <x:c r="D45" s="66" t="n">
        <x:v>88</x:v>
      </x:c>
      <x:c r="E45" s="66" t="n">
        <x:v>123.8</x:v>
      </x:c>
      <x:c r="F45" s="70" t="n">
        <x:v>3.33</x:v>
      </x:c>
      <x:c r="G45" s="74" t="n">
        <x:f>E45/D45</x:f>
        <x:v>1.4068181818181817</x:v>
      </x:c>
      <x:c r="H45" s="74" t="n">
        <x:f>F45*1000/D45</x:f>
        <x:v>37.84090909090909</x:v>
      </x:c>
      <x:c r="I45" s="39" t="str">
        <x:v>Current / tracked</x:v>
      </x:c>
      <x:c r="J45" s="39" t="str">
        <x:v>Epoch modeled full-stack replacement capex</x:v>
      </x:c>
      <x:c r="K45" s="39" t="str">
        <x:v>S01,S02</x:v>
      </x:c>
      <x:c r="L45" s="39" t="str">
        <x:v>https://epoch.ai/data/ai-data-centers</x:v>
      </x:c>
    </x:row>
    <x:row r="46">
      <x:c r="A46" s="48" t="str">
        <x:v>Meta</x:v>
      </x:c>
      <x:c r="B46" s="48" t="str">
        <x:v>Meta</x:v>
      </x:c>
      <x:c r="C46" s="48" t="str">
        <x:v>Gallatin</x:v>
      </x:c>
      <x:c r="D46" s="66" t="n">
        <x:v>87</x:v>
      </x:c>
      <x:c r="E46" s="66" t="n">
        <x:v>99.5</x:v>
      </x:c>
      <x:c r="F46" s="70" t="n">
        <x:v>3.3</x:v>
      </x:c>
      <x:c r="G46" s="74" t="n">
        <x:f>E46/D46</x:f>
        <x:v>1.1436781609195403</x:v>
      </x:c>
      <x:c r="H46" s="74" t="n">
        <x:f>F46*1000/D46</x:f>
        <x:v>37.93103448275862</x:v>
      </x:c>
      <x:c r="I46" s="39" t="str">
        <x:v>Current / tracked</x:v>
      </x:c>
      <x:c r="J46" s="39" t="str">
        <x:v>Epoch modeled full-stack replacement capex</x:v>
      </x:c>
      <x:c r="K46" s="39" t="str">
        <x:v>S01,S02</x:v>
      </x:c>
      <x:c r="L46" s="39" t="str">
        <x:v>https://epoch.ai/data/ai-data-centers</x:v>
      </x:c>
    </x:row>
    <x:row r="47">
      <x:c r="A47" s="48" t="str">
        <x:v>Meta</x:v>
      </x:c>
      <x:c r="B47" s="48" t="str">
        <x:v>Meta</x:v>
      </x:c>
      <x:c r="C47" s="48" t="str">
        <x:v>Los Lunas</x:v>
      </x:c>
      <x:c r="D47" s="66" t="n">
        <x:v>87</x:v>
      </x:c>
      <x:c r="E47" s="66" t="n">
        <x:v>99.5</x:v>
      </x:c>
      <x:c r="F47" s="70" t="n">
        <x:v>3.3</x:v>
      </x:c>
      <x:c r="G47" s="74" t="n">
        <x:f>E47/D47</x:f>
        <x:v>1.1436781609195403</x:v>
      </x:c>
      <x:c r="H47" s="74" t="n">
        <x:f>F47*1000/D47</x:f>
        <x:v>37.93103448275862</x:v>
      </x:c>
      <x:c r="I47" s="39" t="str">
        <x:v>Current / tracked</x:v>
      </x:c>
      <x:c r="J47" s="39" t="str">
        <x:v>Epoch modeled full-stack replacement capex</x:v>
      </x:c>
      <x:c r="K47" s="39" t="str">
        <x:v>S01,S02</x:v>
      </x:c>
      <x:c r="L47" s="39" t="str">
        <x:v>https://epoch.ai/data/ai-data-centers</x:v>
      </x:c>
    </x:row>
    <x:row r="48">
      <x:c r="A48" s="48" t="str">
        <x:v>CoreWeave</x:v>
      </x:c>
      <x:c r="B48" s="48" t="str">
        <x:v>CoreWeave</x:v>
      </x:c>
      <x:c r="C48" s="48" t="str">
        <x:v>Chester</x:v>
      </x:c>
      <x:c r="D48" s="66" t="n">
        <x:v>82</x:v>
      </x:c>
      <x:c r="E48" s="66" t="n">
        <x:v>88.4</x:v>
      </x:c>
      <x:c r="F48" s="70" t="n">
        <x:v>3.11</x:v>
      </x:c>
      <x:c r="G48" s="74" t="n">
        <x:f>E48/D48</x:f>
        <x:v>1.078048780487805</x:v>
      </x:c>
      <x:c r="H48" s="74" t="n">
        <x:f>F48*1000/D48</x:f>
        <x:v>37.926829268292686</x:v>
      </x:c>
      <x:c r="I48" s="39" t="str">
        <x:v>Current / tracked</x:v>
      </x:c>
      <x:c r="J48" s="39" t="str">
        <x:v>Epoch modeled full-stack replacement capex</x:v>
      </x:c>
      <x:c r="K48" s="39" t="str">
        <x:v>S01,S02</x:v>
      </x:c>
      <x:c r="L48" s="39" t="str">
        <x:v>https://epoch.ai/data/ai-data-centers</x:v>
      </x:c>
    </x:row>
    <x:row r="49">
      <x:c r="A49" s="48" t="str">
        <x:v>Meta</x:v>
      </x:c>
      <x:c r="B49" s="48" t="str">
        <x:v>Meta</x:v>
      </x:c>
      <x:c r="C49" s="48" t="str">
        <x:v>Sarpy</x:v>
      </x:c>
      <x:c r="D49" s="66" t="n">
        <x:v>80</x:v>
      </x:c>
      <x:c r="E49" s="66" t="n">
        <x:v>92</x:v>
      </x:c>
      <x:c r="F49" s="70" t="n">
        <x:v>3.03</x:v>
      </x:c>
      <x:c r="G49" s="74" t="n">
        <x:f>E49/D49</x:f>
        <x:v>1.15</x:v>
      </x:c>
      <x:c r="H49" s="74" t="n">
        <x:f>F49*1000/D49</x:f>
        <x:v>37.875</x:v>
      </x:c>
      <x:c r="I49" s="39" t="str">
        <x:v>Current / tracked</x:v>
      </x:c>
      <x:c r="J49" s="39" t="str">
        <x:v>Epoch modeled full-stack replacement capex</x:v>
      </x:c>
      <x:c r="K49" s="39" t="str">
        <x:v>S01,S02</x:v>
      </x:c>
      <x:c r="L49" s="39" t="str">
        <x:v>https://epoch.ai/data/ai-data-centers</x:v>
      </x:c>
    </x:row>
    <x:row r="50">
      <x:c r="A50" s="48" t="str">
        <x:v>Alphabet / Google</x:v>
      </x:c>
      <x:c r="B50" s="48" t="str">
        <x:v>Google</x:v>
      </x:c>
      <x:c r="C50" s="48" t="str">
        <x:v>Arcola</x:v>
      </x:c>
      <x:c r="D50" s="66" t="n">
        <x:v>77</x:v>
      </x:c>
      <x:c r="E50" s="66" t="n">
        <x:v>157.2</x:v>
      </x:c>
      <x:c r="F50" s="70" t="n">
        <x:v>2.92</x:v>
      </x:c>
      <x:c r="G50" s="74" t="n">
        <x:f>E50/D50</x:f>
        <x:v>2.0415584415584416</x:v>
      </x:c>
      <x:c r="H50" s="74" t="n">
        <x:f>F50*1000/D50</x:f>
        <x:v>37.922077922077925</x:v>
      </x:c>
      <x:c r="I50" s="39" t="str">
        <x:v>Current / tracked</x:v>
      </x:c>
      <x:c r="J50" s="39" t="str">
        <x:v>Epoch modeled full-stack replacement capex</x:v>
      </x:c>
      <x:c r="K50" s="39" t="str">
        <x:v>S01,S02</x:v>
      </x:c>
      <x:c r="L50" s="39" t="str">
        <x:v>https://epoch.ai/data/ai-data-centers</x:v>
      </x:c>
    </x:row>
    <x:row r="51">
      <x:c r="A51" s="48" t="str">
        <x:v>Alphabet / Google</x:v>
      </x:c>
      <x:c r="B51" s="48" t="str">
        <x:v>Google</x:v>
      </x:c>
      <x:c r="C51" s="48" t="str">
        <x:v>Red Oak</x:v>
      </x:c>
      <x:c r="D51" s="66" t="n">
        <x:v>77</x:v>
      </x:c>
      <x:c r="E51" s="66" t="n">
        <x:v>108.1</x:v>
      </x:c>
      <x:c r="F51" s="70" t="n">
        <x:v>2.92</x:v>
      </x:c>
      <x:c r="G51" s="74" t="n">
        <x:f>E51/D51</x:f>
        <x:v>1.4038961038961038</x:v>
      </x:c>
      <x:c r="H51" s="74" t="n">
        <x:f>F51*1000/D51</x:f>
        <x:v>37.922077922077925</x:v>
      </x:c>
      <x:c r="I51" s="39" t="str">
        <x:v>Current / tracked</x:v>
      </x:c>
      <x:c r="J51" s="39" t="str">
        <x:v>Epoch modeled full-stack replacement capex</x:v>
      </x:c>
      <x:c r="K51" s="39" t="str">
        <x:v>S01,S02</x:v>
      </x:c>
      <x:c r="L51" s="39" t="str">
        <x:v>https://epoch.ai/data/ai-data-centers</x:v>
      </x:c>
    </x:row>
    <x:row r="52">
      <x:c r="A52" s="48" t="str">
        <x:v>Microsoft</x:v>
      </x:c>
      <x:c r="B52" s="48" t="str">
        <x:v>Microsoft</x:v>
      </x:c>
      <x:c r="C52" s="48" t="str">
        <x:v>SAT40</x:v>
      </x:c>
      <x:c r="D52" s="66" t="n">
        <x:v>75</x:v>
      </x:c>
      <x:c r="E52" s="66" t="n">
        <x:v>64.7</x:v>
      </x:c>
      <x:c r="F52" s="70" t="n">
        <x:v>2.84</x:v>
      </x:c>
      <x:c r="G52" s="74" t="n">
        <x:f>E52/D52</x:f>
        <x:v>0.8626666666666667</x:v>
      </x:c>
      <x:c r="H52" s="74" t="n">
        <x:f>F52*1000/D52</x:f>
        <x:v>37.86666666666667</x:v>
      </x:c>
      <x:c r="I52" s="39" t="str">
        <x:v>Current / tracked</x:v>
      </x:c>
      <x:c r="J52" s="39" t="str">
        <x:v>Epoch modeled full-stack replacement capex</x:v>
      </x:c>
      <x:c r="K52" s="39" t="str">
        <x:v>S01,S02</x:v>
      </x:c>
      <x:c r="L52" s="39" t="str">
        <x:v>https://epoch.ai/data/ai-data-centers</x:v>
      </x:c>
    </x:row>
    <x:row r="53">
      <x:c r="A53" s="48" t="str">
        <x:v>Oracle</x:v>
      </x:c>
      <x:c r="B53" s="48" t="str">
        <x:v>Oracle</x:v>
      </x:c>
      <x:c r="C53" s="48" t="str">
        <x:v>Batam</x:v>
      </x:c>
      <x:c r="D53" s="66" t="n">
        <x:v>72</x:v>
      </x:c>
      <x:c r="E53" s="66" t="n">
        <x:v>84.4</x:v>
      </x:c>
      <x:c r="F53" s="70" t="n">
        <x:v>2.73</x:v>
      </x:c>
      <x:c r="G53" s="74" t="n">
        <x:f>E53/D53</x:f>
        <x:v>1.1722222222222223</x:v>
      </x:c>
      <x:c r="H53" s="74" t="n">
        <x:f>F53*1000/D53</x:f>
        <x:v>37.916666666666664</x:v>
      </x:c>
      <x:c r="I53" s="39" t="str">
        <x:v>Current / tracked</x:v>
      </x:c>
      <x:c r="J53" s="39" t="str">
        <x:v>Epoch modeled full-stack replacement capex</x:v>
      </x:c>
      <x:c r="K53" s="39" t="str">
        <x:v>S01,S02</x:v>
      </x:c>
      <x:c r="L53" s="39" t="str">
        <x:v>https://epoch.ai/data/ai-data-centers</x:v>
      </x:c>
    </x:row>
    <x:row r="54">
      <x:c r="A54" s="48" t="str">
        <x:v>CoreWeave</x:v>
      </x:c>
      <x:c r="B54" s="48" t="str">
        <x:v>CoreWeave</x:v>
      </x:c>
      <x:c r="C54" s="48" t="str">
        <x:v>Ellendale</x:v>
      </x:c>
      <x:c r="D54" s="66" t="n">
        <x:v>68</x:v>
      </x:c>
      <x:c r="E54" s="66" t="n">
        <x:v>93.5</x:v>
      </x:c>
      <x:c r="F54" s="70" t="n">
        <x:v>2.58</x:v>
      </x:c>
      <x:c r="G54" s="74" t="n">
        <x:f>E54/D54</x:f>
        <x:v>1.375</x:v>
      </x:c>
      <x:c r="H54" s="74" t="n">
        <x:f>F54*1000/D54</x:f>
        <x:v>37.94117647058823</x:v>
      </x:c>
      <x:c r="I54" s="39" t="str">
        <x:v>Current / tracked</x:v>
      </x:c>
      <x:c r="J54" s="39" t="str">
        <x:v>Epoch modeled full-stack replacement capex</x:v>
      </x:c>
      <x:c r="K54" s="39" t="str">
        <x:v>S01,S02</x:v>
      </x:c>
      <x:c r="L54" s="39" t="str">
        <x:v>https://epoch.ai/data/ai-data-centers</x:v>
      </x:c>
    </x:row>
    <x:row r="55">
      <x:c r="A55" s="48" t="str">
        <x:v>CoreWeave</x:v>
      </x:c>
      <x:c r="B55" s="48" t="str">
        <x:v>CoreWeave</x:v>
      </x:c>
      <x:c r="C55" s="48" t="str">
        <x:v>Marble</x:v>
      </x:c>
      <x:c r="D55" s="66" t="n">
        <x:v>65</x:v>
      </x:c>
      <x:c r="E55" s="66" t="n">
        <x:v>78.8</x:v>
      </x:c>
      <x:c r="F55" s="70" t="n">
        <x:v>2.46</x:v>
      </x:c>
      <x:c r="G55" s="74" t="n">
        <x:f>E55/D55</x:f>
        <x:v>1.2123076923076923</x:v>
      </x:c>
      <x:c r="H55" s="74" t="n">
        <x:f>F55*1000/D55</x:f>
        <x:v>37.84615384615385</x:v>
      </x:c>
      <x:c r="I55" s="39" t="str">
        <x:v>Current / tracked</x:v>
      </x:c>
      <x:c r="J55" s="39" t="str">
        <x:v>Epoch modeled full-stack replacement capex</x:v>
      </x:c>
      <x:c r="K55" s="39" t="str">
        <x:v>S01,S02</x:v>
      </x:c>
      <x:c r="L55" s="39" t="str">
        <x:v>https://epoch.ai/data/ai-data-centers</x:v>
      </x:c>
    </x:row>
    <x:row r="56">
      <x:c r="A56" s="48" t="str">
        <x:v>Microsoft</x:v>
      </x:c>
      <x:c r="B56" s="48" t="str">
        <x:v>Microsoft / Nebius</x:v>
      </x:c>
      <x:c r="C56" s="48" t="str">
        <x:v>New Jersey</x:v>
      </x:c>
      <x:c r="D56" s="66" t="n">
        <x:v>50</x:v>
      </x:c>
      <x:c r="E56" s="66" t="n">
        <x:v>56.8</x:v>
      </x:c>
      <x:c r="F56" s="70" t="n">
        <x:v>1.89</x:v>
      </x:c>
      <x:c r="G56" s="74" t="n">
        <x:f>E56/D56</x:f>
        <x:v>1.136</x:v>
      </x:c>
      <x:c r="H56" s="74" t="n">
        <x:f>F56*1000/D56</x:f>
        <x:v>37.8</x:v>
      </x:c>
      <x:c r="I56" s="39" t="str">
        <x:v>Current / tracked</x:v>
      </x:c>
      <x:c r="J56" s="39" t="str">
        <x:v>Epoch modeled full-stack replacement capex</x:v>
      </x:c>
      <x:c r="K56" s="39" t="str">
        <x:v>S01,S02</x:v>
      </x:c>
      <x:c r="L56" s="39" t="str">
        <x:v>https://epoch.ai/data/ai-data-centers</x:v>
      </x:c>
    </x:row>
    <x:row r="57">
      <x:c r="A57" s="48" t="str">
        <x:v>Microsoft</x:v>
      </x:c>
      <x:c r="B57" s="48" t="str">
        <x:v>Microsoft</x:v>
      </x:c>
      <x:c r="C57" s="48" t="str">
        <x:v>SAT14</x:v>
      </x:c>
      <x:c r="D57" s="66" t="n">
        <x:v>47</x:v>
      </x:c>
      <x:c r="E57" s="66" t="n">
        <x:v>45.2</x:v>
      </x:c>
      <x:c r="F57" s="70" t="n">
        <x:v>1.78</x:v>
      </x:c>
      <x:c r="G57" s="74" t="n">
        <x:f>E57/D57</x:f>
        <x:v>0.9617021276595745</x:v>
      </x:c>
      <x:c r="H57" s="74" t="n">
        <x:f>F57*1000/D57</x:f>
        <x:v>37.87234042553192</x:v>
      </x:c>
      <x:c r="I57" s="39" t="str">
        <x:v>Current / tracked</x:v>
      </x:c>
      <x:c r="J57" s="39" t="str">
        <x:v>Epoch modeled full-stack replacement capex</x:v>
      </x:c>
      <x:c r="K57" s="39" t="str">
        <x:v>S01,S02</x:v>
      </x:c>
      <x:c r="L57" s="39" t="str">
        <x:v>https://epoch.ai/data/ai-data-centers</x:v>
      </x:c>
    </x:row>
    <x:row r="58">
      <x:c r="A58" s="48" t="str">
        <x:v>Anthropic</x:v>
      </x:c>
      <x:c r="B58" s="48" t="str">
        <x:v>Anthropic / Fluidstack</x:v>
      </x:c>
      <x:c r="C58" s="48" t="str">
        <x:v>Lake Mariner</x:v>
      </x:c>
      <x:c r="D58" s="66" t="n">
        <x:v>42</x:v>
      </x:c>
      <x:c r="E58" s="66" t="n">
        <x:v>58.6</x:v>
      </x:c>
      <x:c r="F58" s="70" t="n">
        <x:v>1.59</x:v>
      </x:c>
      <x:c r="G58" s="74" t="n">
        <x:f>E58/D58</x:f>
        <x:v>1.3952380952380952</x:v>
      </x:c>
      <x:c r="H58" s="74" t="n">
        <x:f>F58*1000/D58</x:f>
        <x:v>37.857142857142854</x:v>
      </x:c>
      <x:c r="I58" s="39" t="str">
        <x:v>Current / tracked</x:v>
      </x:c>
      <x:c r="J58" s="39" t="str">
        <x:v>Epoch modeled full-stack replacement capex</x:v>
      </x:c>
      <x:c r="K58" s="39" t="str">
        <x:v>S01,S02</x:v>
      </x:c>
      <x:c r="L58" s="39" t="str">
        <x:v>https://epoch.ai/data/ai-data-centers</x:v>
      </x:c>
    </x:row>
    <x:row r="59">
      <x:c r="A59" s="48" t="str">
        <x:v>CoreWeave</x:v>
      </x:c>
      <x:c r="B59" s="48" t="str">
        <x:v>CoreWeave</x:v>
      </x:c>
      <x:c r="C59" s="48" t="str">
        <x:v>Norway</x:v>
      </x:c>
      <x:c r="D59" s="66" t="n">
        <x:v>42</x:v>
      </x:c>
      <x:c r="E59" s="66" t="n">
        <x:v>50.8</x:v>
      </x:c>
      <x:c r="F59" s="70" t="n">
        <x:v>1.59</x:v>
      </x:c>
      <x:c r="G59" s="74" t="n">
        <x:f>E59/D59</x:f>
        <x:v>1.2095238095238094</x:v>
      </x:c>
      <x:c r="H59" s="74" t="n">
        <x:f>F59*1000/D59</x:f>
        <x:v>37.857142857142854</x:v>
      </x:c>
      <x:c r="I59" s="39" t="str">
        <x:v>Current / tracked</x:v>
      </x:c>
      <x:c r="J59" s="39" t="str">
        <x:v>Epoch modeled full-stack replacement capex</x:v>
      </x:c>
      <x:c r="K59" s="39" t="str">
        <x:v>S01,S02</x:v>
      </x:c>
      <x:c r="L59" s="39" t="str">
        <x:v>https://epoch.ai/data/ai-data-centers</x:v>
      </x:c>
    </x:row>
    <x:row r="60">
      <x:c r="A60" s="48" t="str">
        <x:v>CoreWeave</x:v>
      </x:c>
      <x:c r="B60" s="48" t="str">
        <x:v>CoreWeave</x:v>
      </x:c>
      <x:c r="C60" s="48" t="str">
        <x:v>Dalton 1 &amp; 2</x:v>
      </x:c>
      <x:c r="D60" s="66" t="n">
        <x:v>28</x:v>
      </x:c>
      <x:c r="E60" s="66" t="n">
        <x:v>32.2</x:v>
      </x:c>
      <x:c r="F60" s="70" t="n">
        <x:v>1.06</x:v>
      </x:c>
      <x:c r="G60" s="74" t="n">
        <x:f>E60/D60</x:f>
        <x:v>1.1500000000000001</x:v>
      </x:c>
      <x:c r="H60" s="74" t="n">
        <x:f>F60*1000/D60</x:f>
        <x:v>37.857142857142854</x:v>
      </x:c>
      <x:c r="I60" s="39" t="str">
        <x:v>Current / tracked</x:v>
      </x:c>
      <x:c r="J60" s="39" t="str">
        <x:v>Epoch modeled full-stack replacement capex</x:v>
      </x:c>
      <x:c r="K60" s="39" t="str">
        <x:v>S01,S02</x:v>
      </x:c>
      <x:c r="L60" s="39" t="str">
        <x:v>https://epoch.ai/data/ai-data-centers</x:v>
      </x:c>
    </x:row>
    <x:row r="61">
      <x:c r="A61" s="54" t="str">
        <x:v>xAI / SpaceXAI</x:v>
      </x:c>
      <x:c r="B61" s="54" t="str">
        <x:v>xAI</x:v>
      </x:c>
      <x:c r="C61" s="54" t="str">
        <x:v>QTS Atlanta</x:v>
      </x:c>
      <x:c r="D61" s="67" t="n">
        <x:v>17.33</x:v>
      </x:c>
      <x:c r="E61" s="67" t="n">
        <x:v>11.5</x:v>
      </x:c>
      <x:c r="F61" s="71" t="n">
        <x:v>0.656</x:v>
      </x:c>
      <x:c r="G61" s="51" t="n">
        <x:f>E61/D61</x:f>
        <x:v>0.6635891517599539</x:v>
      </x:c>
      <x:c r="H61" s="51" t="n">
        <x:f>F61*1000/D61</x:f>
        <x:v>37.853433352567805</x:v>
      </x:c>
      <x:c r="I61" s="40" t="str">
        <x:v>Current / tracked</x:v>
      </x:c>
      <x:c r="J61" s="40" t="str">
        <x:v>Epoch modeled full-stack replacement capex</x:v>
      </x:c>
      <x:c r="K61" s="40" t="str">
        <x:v>S01,S02</x:v>
      </x:c>
      <x:c r="L61" s="40" t="str">
        <x:v>https://epoch.ai/data/ai-data-centers</x:v>
      </x:c>
    </x:row>
  </x:sheetData>
  <x:mergeCells>
    <x:mergeCell ref="A1:L2"/>
    <x:mergeCell ref="A3:L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5" hidden="0" customWidth="1"/>
    <x:col min="4" max="4" width="12" hidden="0" customWidth="1"/>
    <x:col min="5" max="5" width="16" hidden="0" customWidth="1"/>
    <x:col min="6" max="6" width="17" hidden="0" customWidth="1"/>
    <x:col min="7" max="7" width="16" hidden="0" customWidth="1"/>
    <x:col min="8" max="8" width="15" hidden="0" customWidth="1"/>
    <x:col min="9" max="9" width="20" hidden="0" customWidth="1"/>
    <x:col min="10" max="10" width="20" hidden="0" customWidth="1"/>
    <x:col min="11" max="11" width="38" hidden="0" customWidth="1"/>
    <x:col min="12" max="12" width="12" hidden="0" customWidth="1"/>
    <x:col min="13" max="13" width="42" hidden="0" customWidth="1"/>
  </x:cols>
  <x:sheetData>
    <x:row r="1">
      <x:c r="A1" s="5" t="str">
        <x:v>Named planned / target-state AI data-center capacity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3" t="str">
        <x:v>Target-state rows are not automatically signed. Incremental MW subtracts an exact same-name current site for the same vendor roll-up. Projects may overlap or re-phase. S01-S02.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6">
      <x:c r="A6" s="28" t="str">
        <x:v>Vendor roll-up</x:v>
      </x:c>
      <x:c r="B6" s="28" t="str">
        <x:v>Reported owner / sponsor</x:v>
      </x:c>
      <x:c r="C6" s="28" t="str">
        <x:v>Site / campus</x:v>
      </x:c>
      <x:c r="D6" s="28" t="str">
        <x:v>Target IT MW</x:v>
      </x:c>
      <x:c r="E6" s="28" t="str">
        <x:v>Target H100e (000s)</x:v>
      </x:c>
      <x:c r="F6" s="28" t="str">
        <x:v>Modeled target cost ($B)</x:v>
      </x:c>
      <x:c r="G6" s="28" t="str">
        <x:v>Matched current IT MW</x:v>
      </x:c>
      <x:c r="H6" s="28" t="str">
        <x:v>Incremental IT MW</x:v>
      </x:c>
      <x:c r="I6" s="28" t="str">
        <x:v>Incremental H100e / IT MW</x:v>
      </x:c>
      <x:c r="J6" s="28" t="str">
        <x:v>Status</x:v>
      </x:c>
      <x:c r="K6" s="28" t="str">
        <x:v>Cost basis</x:v>
      </x:c>
      <x:c r="L6" s="28" t="str">
        <x:v>Source IDs</x:v>
      </x:c>
      <x:c r="M6" s="28" t="str">
        <x:v>Source URL</x:v>
      </x:c>
    </x:row>
    <x:row r="7">
      <x:c r="A7" s="48" t="str">
        <x:v>Microsoft</x:v>
      </x:c>
      <x:c r="B7" s="48" t="str">
        <x:v>Microsoft</x:v>
      </x:c>
      <x:c r="C7" s="48" t="str">
        <x:v>Fairwater Wisconsin</x:v>
      </x:c>
      <x:c r="D7" s="66" t="n">
        <x:v>2715</x:v>
      </x:c>
      <x:c r="E7" s="66" t="n">
        <x:v>4500</x:v>
      </x:c>
      <x:c r="F7" s="70" t="n">
        <x:v>85.73</x:v>
      </x:c>
      <x:c r="G7" s="80" t="n">
        <x:f>SUMIFS(Sites_Current!$D$7:$D$61,Sites_Current!$A$7:$A$61,A7,Sites_Current!$C$7:$C$61,C7)</x:f>
        <x:v>369</x:v>
      </x:c>
      <x:c r="H7" s="80" t="n">
        <x:f>MAX(0,D7-G7)</x:f>
        <x:v>2346</x:v>
      </x:c>
      <x:c r="I7" s="80" t="n">
        <x:f>IF(H7=0,0,(E7-SUMIFS(Sites_Current!$E$7:$E$61,Sites_Current!$A$7:$A$61,A7,Sites_Current!$C$7:$C$61,C7))/H7)</x:f>
        <x:v>1.7281756180733163</x:v>
      </x:c>
      <x:c r="J7" s="39" t="str">
        <x:v>Planned / target end-state</x:v>
      </x:c>
      <x:c r="K7" s="39" t="str">
        <x:v>Epoch modeled target-state capex; not necessarily signed</x:v>
      </x:c>
      <x:c r="L7" s="39" t="str">
        <x:v>S01,S02</x:v>
      </x:c>
      <x:c r="M7" s="39" t="str">
        <x:v>https://epoch.ai/data/ai-data-centers</x:v>
      </x:c>
    </x:row>
    <x:row r="8">
      <x:c r="A8" s="48" t="str">
        <x:v>OpenAI</x:v>
      </x:c>
      <x:c r="B8" s="48" t="str">
        <x:v>OpenAI</x:v>
      </x:c>
      <x:c r="C8" s="48" t="str">
        <x:v>Stargate New Mexico</x:v>
      </x:c>
      <x:c r="D8" s="66" t="n">
        <x:v>2450</x:v>
      </x:c>
      <x:c r="E8" s="66" t="n">
        <x:v>5100</x:v>
      </x:c>
      <x:c r="F8" s="70" t="n">
        <x:v>66.29</x:v>
      </x:c>
      <x:c r="G8" s="80" t="n">
        <x:f>SUMIFS(Sites_Current!$D$7:$D$61,Sites_Current!$A$7:$A$61,A8,Sites_Current!$C$7:$C$61,C8)</x:f>
        <x:v>0</x:v>
      </x:c>
      <x:c r="H8" s="80" t="n">
        <x:f>MAX(0,D8-G8)</x:f>
        <x:v>2450</x:v>
      </x:c>
      <x:c r="I8" s="80" t="n">
        <x:f>IF(H8=0,0,(E8-SUMIFS(Sites_Current!$E$7:$E$61,Sites_Current!$A$7:$A$61,A8,Sites_Current!$C$7:$C$61,C8))/H8)</x:f>
        <x:v>2.0816326530612246</x:v>
      </x:c>
      <x:c r="J8" s="39" t="str">
        <x:v>Planned / target end-state</x:v>
      </x:c>
      <x:c r="K8" s="39" t="str">
        <x:v>Epoch modeled target-state capex; not necessarily signed</x:v>
      </x:c>
      <x:c r="L8" s="39" t="str">
        <x:v>S01,S02</x:v>
      </x:c>
      <x:c r="M8" s="39" t="str">
        <x:v>https://epoch.ai/data/ai-data-centers</x:v>
      </x:c>
    </x:row>
    <x:row r="9">
      <x:c r="A9" s="48" t="str">
        <x:v>Amazon / AWS</x:v>
      </x:c>
      <x:c r="B9" s="48" t="str">
        <x:v>Amazon / Anthropic</x:v>
      </x:c>
      <x:c r="C9" s="48" t="str">
        <x:v>New Carlisle</x:v>
      </x:c>
      <x:c r="D9" s="66" t="n">
        <x:v>2310</x:v>
      </x:c>
      <x:c r="E9" s="66" t="n">
        <x:v>1700</x:v>
      </x:c>
      <x:c r="F9" s="70" t="n">
        <x:v>72.92</x:v>
      </x:c>
      <x:c r="G9" s="80" t="n">
        <x:f>SUMIFS(Sites_Current!$D$7:$D$61,Sites_Current!$A$7:$A$61,A9,Sites_Current!$C$7:$C$61,C9)</x:f>
        <x:v>910</x:v>
      </x:c>
      <x:c r="H9" s="80" t="n">
        <x:f>MAX(0,D9-G9)</x:f>
        <x:v>1400</x:v>
      </x:c>
      <x:c r="I9" s="80" t="n">
        <x:f>IF(H9=0,0,(E9-SUMIFS(Sites_Current!$E$7:$E$61,Sites_Current!$A$7:$A$61,A9,Sites_Current!$C$7:$C$61,C9))/H9)</x:f>
        <x:v>0.7243571428571429</x:v>
      </x:c>
      <x:c r="J9" s="39" t="str">
        <x:v>Planned / target end-state</x:v>
      </x:c>
      <x:c r="K9" s="39" t="str">
        <x:v>Epoch modeled target-state capex; not necessarily signed</x:v>
      </x:c>
      <x:c r="L9" s="39" t="str">
        <x:v>S01,S02</x:v>
      </x:c>
      <x:c r="M9" s="39" t="str">
        <x:v>https://epoch.ai/data/ai-data-centers</x:v>
      </x:c>
    </x:row>
    <x:row r="10">
      <x:c r="A10" s="48" t="str">
        <x:v>Meta</x:v>
      </x:c>
      <x:c r="B10" s="48" t="str">
        <x:v>Meta</x:v>
      </x:c>
      <x:c r="C10" s="48" t="str">
        <x:v>Hyperion</x:v>
      </x:c>
      <x:c r="D10" s="66" t="n">
        <x:v>2262</x:v>
      </x:c>
      <x:c r="E10" s="66" t="n">
        <x:v>4300</x:v>
      </x:c>
      <x:c r="F10" s="70" t="n">
        <x:v>63.49</x:v>
      </x:c>
      <x:c r="G10" s="80" t="n">
        <x:f>SUMIFS(Sites_Current!$D$7:$D$61,Sites_Current!$A$7:$A$61,A10,Sites_Current!$C$7:$C$61,C10)</x:f>
        <x:v>0</x:v>
      </x:c>
      <x:c r="H10" s="80" t="n">
        <x:f>MAX(0,D10-G10)</x:f>
        <x:v>2262</x:v>
      </x:c>
      <x:c r="I10" s="80" t="n">
        <x:f>IF(H10=0,0,(E10-SUMIFS(Sites_Current!$E$7:$E$61,Sites_Current!$A$7:$A$61,A10,Sites_Current!$C$7:$C$61,C10))/H10)</x:f>
        <x:v>1.900972590627763</x:v>
      </x:c>
      <x:c r="J10" s="39" t="str">
        <x:v>Planned / target end-state</x:v>
      </x:c>
      <x:c r="K10" s="39" t="str">
        <x:v>Epoch modeled target-state capex; not necessarily signed</x:v>
      </x:c>
      <x:c r="L10" s="39" t="str">
        <x:v>S01,S02</x:v>
      </x:c>
      <x:c r="M10" s="39" t="str">
        <x:v>https://epoch.ai/data/ai-data-centers</x:v>
      </x:c>
    </x:row>
    <x:row r="11">
      <x:c r="A11" s="48" t="str">
        <x:v>xAI / SpaceXAI</x:v>
      </x:c>
      <x:c r="B11" s="48" t="str">
        <x:v>xAI / SpaceXAI</x:v>
      </x:c>
      <x:c r="C11" s="48" t="str">
        <x:v>Colossus 2</x:v>
      </x:c>
      <x:c r="D11" s="66" t="n">
        <x:v>2065</x:v>
      </x:c>
      <x:c r="E11" s="66" t="n">
        <x:v>1800</x:v>
      </x:c>
      <x:c r="F11" s="70" t="n">
        <x:v>58</x:v>
      </x:c>
      <x:c r="G11" s="80" t="n">
        <x:f>SUMIFS(Sites_Current!$D$7:$D$61,Sites_Current!$A$7:$A$61,A11,Sites_Current!$C$7:$C$61,C11)</x:f>
        <x:v>946</x:v>
      </x:c>
      <x:c r="H11" s="80" t="n">
        <x:f>MAX(0,D11-G11)</x:f>
        <x:v>1119</x:v>
      </x:c>
      <x:c r="I11" s="80" t="n">
        <x:f>IF(H11=0,0,(E11-SUMIFS(Sites_Current!$E$7:$E$61,Sites_Current!$A$7:$A$61,A11,Sites_Current!$C$7:$C$61,C11))/H11)</x:f>
        <x:v>0.6148346738159071</x:v>
      </x:c>
      <x:c r="J11" s="39" t="str">
        <x:v>Planned / target end-state</x:v>
      </x:c>
      <x:c r="K11" s="39" t="str">
        <x:v>Epoch modeled target-state capex; not necessarily signed</x:v>
      </x:c>
      <x:c r="L11" s="39" t="str">
        <x:v>S01,S02</x:v>
      </x:c>
      <x:c r="M11" s="39" t="str">
        <x:v>https://epoch.ai/data/ai-data-centers</x:v>
      </x:c>
    </x:row>
    <x:row r="12">
      <x:c r="A12" s="48" t="str">
        <x:v>OpenAI</x:v>
      </x:c>
      <x:c r="B12" s="48" t="str">
        <x:v>OpenAI</x:v>
      </x:c>
      <x:c r="C12" s="48" t="str">
        <x:v>Stargate Shackelford</x:v>
      </x:c>
      <x:c r="D12" s="66" t="n">
        <x:v>1960</x:v>
      </x:c>
      <x:c r="E12" s="66" t="n">
        <x:v>4600</x:v>
      </x:c>
      <x:c r="F12" s="70" t="n">
        <x:v>53.03</x:v>
      </x:c>
      <x:c r="G12" s="80" t="n">
        <x:f>SUMIFS(Sites_Current!$D$7:$D$61,Sites_Current!$A$7:$A$61,A12,Sites_Current!$C$7:$C$61,C12)</x:f>
        <x:v>0</x:v>
      </x:c>
      <x:c r="H12" s="80" t="n">
        <x:f>MAX(0,D12-G12)</x:f>
        <x:v>1960</x:v>
      </x:c>
      <x:c r="I12" s="80" t="n">
        <x:f>IF(H12=0,0,(E12-SUMIFS(Sites_Current!$E$7:$E$61,Sites_Current!$A$7:$A$61,A12,Sites_Current!$C$7:$C$61,C12))/H12)</x:f>
        <x:v>2.3469387755102042</x:v>
      </x:c>
      <x:c r="J12" s="39" t="str">
        <x:v>Planned / target end-state</x:v>
      </x:c>
      <x:c r="K12" s="39" t="str">
        <x:v>Epoch modeled target-state capex; not necessarily signed</x:v>
      </x:c>
      <x:c r="L12" s="39" t="str">
        <x:v>S01,S02</x:v>
      </x:c>
      <x:c r="M12" s="39" t="str">
        <x:v>https://epoch.ai/data/ai-data-centers</x:v>
      </x:c>
    </x:row>
    <x:row r="13">
      <x:c r="A13" s="48" t="str">
        <x:v>QTS</x:v>
      </x:c>
      <x:c r="B13" s="48" t="str">
        <x:v>QTS</x:v>
      </x:c>
      <x:c r="C13" s="48" t="str">
        <x:v>Cedar Rapids</x:v>
      </x:c>
      <x:c r="D13" s="66" t="n">
        <x:v>1587</x:v>
      </x:c>
      <x:c r="E13" s="66" t="n">
        <x:v>3700</x:v>
      </x:c>
      <x:c r="F13" s="70" t="n">
        <x:v>42.92</x:v>
      </x:c>
      <x:c r="G13" s="80" t="n">
        <x:f>SUMIFS(Sites_Current!$D$7:$D$61,Sites_Current!$A$7:$A$61,A13,Sites_Current!$C$7:$C$61,C13)</x:f>
        <x:v>0</x:v>
      </x:c>
      <x:c r="H13" s="80" t="n">
        <x:f>MAX(0,D13-G13)</x:f>
        <x:v>1587</x:v>
      </x:c>
      <x:c r="I13" s="80" t="n">
        <x:f>IF(H13=0,0,(E13-SUMIFS(Sites_Current!$E$7:$E$61,Sites_Current!$A$7:$A$61,A13,Sites_Current!$C$7:$C$61,C13))/H13)</x:f>
        <x:v>2.3314429741650913</x:v>
      </x:c>
      <x:c r="J13" s="39" t="str">
        <x:v>Planned / target end-state</x:v>
      </x:c>
      <x:c r="K13" s="39" t="str">
        <x:v>Epoch modeled target-state capex; not necessarily signed</x:v>
      </x:c>
      <x:c r="L13" s="39" t="str">
        <x:v>S01,S02</x:v>
      </x:c>
      <x:c r="M13" s="39" t="str">
        <x:v>https://epoch.ai/data/ai-data-centers</x:v>
      </x:c>
    </x:row>
    <x:row r="14">
      <x:c r="A14" s="48" t="str">
        <x:v>OpenAI</x:v>
      </x:c>
      <x:c r="B14" s="48" t="str">
        <x:v>OpenAI</x:v>
      </x:c>
      <x:c r="C14" s="48" t="str">
        <x:v>Stargate UAE</x:v>
      </x:c>
      <x:c r="D14" s="66" t="n">
        <x:v>1400</x:v>
      </x:c>
      <x:c r="E14" s="66" t="n">
        <x:v>2000</x:v>
      </x:c>
      <x:c r="F14" s="70" t="n">
        <x:v>37.88</x:v>
      </x:c>
      <x:c r="G14" s="80" t="n">
        <x:f>SUMIFS(Sites_Current!$D$7:$D$61,Sites_Current!$A$7:$A$61,A14,Sites_Current!$C$7:$C$61,C14)</x:f>
        <x:v>0</x:v>
      </x:c>
      <x:c r="H14" s="80" t="n">
        <x:f>MAX(0,D14-G14)</x:f>
        <x:v>1400</x:v>
      </x:c>
      <x:c r="I14" s="80" t="n">
        <x:f>IF(H14=0,0,(E14-SUMIFS(Sites_Current!$E$7:$E$61,Sites_Current!$A$7:$A$61,A14,Sites_Current!$C$7:$C$61,C14))/H14)</x:f>
        <x:v>1.4285714285714286</x:v>
      </x:c>
      <x:c r="J14" s="39" t="str">
        <x:v>Planned / target end-state</x:v>
      </x:c>
      <x:c r="K14" s="39" t="str">
        <x:v>Epoch modeled target-state capex; not necessarily signed</x:v>
      </x:c>
      <x:c r="L14" s="39" t="str">
        <x:v>S01,S02</x:v>
      </x:c>
      <x:c r="M14" s="39" t="str">
        <x:v>https://epoch.ai/data/ai-data-centers</x:v>
      </x:c>
    </x:row>
    <x:row r="15">
      <x:c r="A15" s="48" t="str">
        <x:v>OpenAI</x:v>
      </x:c>
      <x:c r="B15" s="48" t="str">
        <x:v>OpenAI</x:v>
      </x:c>
      <x:c r="C15" s="48" t="str">
        <x:v>Stargate Michigan</x:v>
      </x:c>
      <x:c r="D15" s="66" t="n">
        <x:v>1383</x:v>
      </x:c>
      <x:c r="E15" s="66" t="n">
        <x:v>2900</x:v>
      </x:c>
      <x:c r="F15" s="70" t="n">
        <x:v>37.43</x:v>
      </x:c>
      <x:c r="G15" s="80" t="n">
        <x:f>SUMIFS(Sites_Current!$D$7:$D$61,Sites_Current!$A$7:$A$61,A15,Sites_Current!$C$7:$C$61,C15)</x:f>
        <x:v>0</x:v>
      </x:c>
      <x:c r="H15" s="80" t="n">
        <x:f>MAX(0,D15-G15)</x:f>
        <x:v>1383</x:v>
      </x:c>
      <x:c r="I15" s="80" t="n">
        <x:f>IF(H15=0,0,(E15-SUMIFS(Sites_Current!$E$7:$E$61,Sites_Current!$A$7:$A$61,A15,Sites_Current!$C$7:$C$61,C15))/H15)</x:f>
        <x:v>2.0968908170643528</x:v>
      </x:c>
      <x:c r="J15" s="39" t="str">
        <x:v>Planned / target end-state</x:v>
      </x:c>
      <x:c r="K15" s="39" t="str">
        <x:v>Epoch modeled target-state capex; not necessarily signed</x:v>
      </x:c>
      <x:c r="L15" s="39" t="str">
        <x:v>S01,S02</x:v>
      </x:c>
      <x:c r="M15" s="39" t="str">
        <x:v>https://epoch.ai/data/ai-data-centers</x:v>
      </x:c>
    </x:row>
    <x:row r="16">
      <x:c r="A16" s="48" t="str">
        <x:v>OpenAI</x:v>
      </x:c>
      <x:c r="B16" s="48" t="str">
        <x:v>OpenAI</x:v>
      </x:c>
      <x:c r="C16" s="48" t="str">
        <x:v>Stargate Wisconsin</x:v>
      </x:c>
      <x:c r="D16" s="66" t="n">
        <x:v>1300</x:v>
      </x:c>
      <x:c r="E16" s="66" t="n">
        <x:v>2600</x:v>
      </x:c>
      <x:c r="F16" s="70" t="n">
        <x:v>34.17</x:v>
      </x:c>
      <x:c r="G16" s="80" t="n">
        <x:f>SUMIFS(Sites_Current!$D$7:$D$61,Sites_Current!$A$7:$A$61,A16,Sites_Current!$C$7:$C$61,C16)</x:f>
        <x:v>0</x:v>
      </x:c>
      <x:c r="H16" s="80" t="n">
        <x:f>MAX(0,D16-G16)</x:f>
        <x:v>1300</x:v>
      </x:c>
      <x:c r="I16" s="80" t="n">
        <x:f>IF(H16=0,0,(E16-SUMIFS(Sites_Current!$E$7:$E$61,Sites_Current!$A$7:$A$61,A16,Sites_Current!$C$7:$C$61,C16))/H16)</x:f>
        <x:v>2</x:v>
      </x:c>
      <x:c r="J16" s="39" t="str">
        <x:v>Planned / target end-state</x:v>
      </x:c>
      <x:c r="K16" s="39" t="str">
        <x:v>Epoch modeled target-state capex; not necessarily signed</x:v>
      </x:c>
      <x:c r="L16" s="39" t="str">
        <x:v>S01,S02</x:v>
      </x:c>
      <x:c r="M16" s="39" t="str">
        <x:v>https://epoch.ai/data/ai-data-centers</x:v>
      </x:c>
    </x:row>
    <x:row r="17">
      <x:c r="A17" s="48" t="str">
        <x:v>OpenAI</x:v>
      </x:c>
      <x:c r="B17" s="48" t="str">
        <x:v>OpenAI</x:v>
      </x:c>
      <x:c r="C17" s="48" t="str">
        <x:v>Stargate Milam</x:v>
      </x:c>
      <x:c r="D17" s="66" t="n">
        <x:v>1200</x:v>
      </x:c>
      <x:c r="E17" s="66" t="n">
        <x:v>2500</x:v>
      </x:c>
      <x:c r="F17" s="70" t="n">
        <x:v>32.46</x:v>
      </x:c>
      <x:c r="G17" s="80" t="n">
        <x:f>SUMIFS(Sites_Current!$D$7:$D$61,Sites_Current!$A$7:$A$61,A17,Sites_Current!$C$7:$C$61,C17)</x:f>
        <x:v>0</x:v>
      </x:c>
      <x:c r="H17" s="80" t="n">
        <x:f>MAX(0,D17-G17)</x:f>
        <x:v>1200</x:v>
      </x:c>
      <x:c r="I17" s="80" t="n">
        <x:f>IF(H17=0,0,(E17-SUMIFS(Sites_Current!$E$7:$E$61,Sites_Current!$A$7:$A$61,A17,Sites_Current!$C$7:$C$61,C17))/H17)</x:f>
        <x:v>2.0833333333333335</x:v>
      </x:c>
      <x:c r="J17" s="39" t="str">
        <x:v>Planned / target end-state</x:v>
      </x:c>
      <x:c r="K17" s="39" t="str">
        <x:v>Epoch modeled target-state capex; not necessarily signed</x:v>
      </x:c>
      <x:c r="L17" s="39" t="str">
        <x:v>S01,S02</x:v>
      </x:c>
      <x:c r="M17" s="39" t="str">
        <x:v>https://epoch.ai/data/ai-data-centers</x:v>
      </x:c>
    </x:row>
    <x:row r="18">
      <x:c r="A18" s="48" t="str">
        <x:v>Oracle</x:v>
      </x:c>
      <x:c r="B18" s="48" t="str">
        <x:v>Oracle / OpenAI</x:v>
      </x:c>
      <x:c r="C18" s="48" t="str">
        <x:v>Stargate Abilene</x:v>
      </x:c>
      <x:c r="D18" s="66" t="n">
        <x:v>1180</x:v>
      </x:c>
      <x:c r="E18" s="66" t="n">
        <x:v>1000</x:v>
      </x:c>
      <x:c r="F18" s="70" t="n">
        <x:v>31.93</x:v>
      </x:c>
      <x:c r="G18" s="80" t="n">
        <x:f>SUMIFS(Sites_Current!$D$7:$D$61,Sites_Current!$A$7:$A$61,A18,Sites_Current!$C$7:$C$61,C18)</x:f>
        <x:v>421</x:v>
      </x:c>
      <x:c r="H18" s="80" t="n">
        <x:f>MAX(0,D18-G18)</x:f>
        <x:v>759</x:v>
      </x:c>
      <x:c r="I18" s="80" t="n">
        <x:f>IF(H18=0,0,(E18-SUMIFS(Sites_Current!$E$7:$E$61,Sites_Current!$A$7:$A$61,A18,Sites_Current!$C$7:$C$61,C18))/H18)</x:f>
        <x:v>0.6465085638998682</x:v>
      </x:c>
      <x:c r="J18" s="39" t="str">
        <x:v>Planned / target end-state</x:v>
      </x:c>
      <x:c r="K18" s="39" t="str">
        <x:v>Epoch modeled target-state capex; not necessarily signed</x:v>
      </x:c>
      <x:c r="L18" s="39" t="str">
        <x:v>S01,S02</x:v>
      </x:c>
      <x:c r="M18" s="39" t="str">
        <x:v>https://epoch.ai/data/ai-data-centers</x:v>
      </x:c>
    </x:row>
    <x:row r="19">
      <x:c r="A19" s="48" t="str">
        <x:v>Meta</x:v>
      </x:c>
      <x:c r="B19" s="48" t="str">
        <x:v>Meta</x:v>
      </x:c>
      <x:c r="C19" s="48" t="str">
        <x:v>Prometheus</x:v>
      </x:c>
      <x:c r="D19" s="66" t="n">
        <x:v>1110</x:v>
      </x:c>
      <x:c r="E19" s="66" t="n">
        <x:v>1000</x:v>
      </x:c>
      <x:c r="F19" s="70" t="n">
        <x:v>32.35</x:v>
      </x:c>
      <x:c r="G19" s="80" t="n">
        <x:f>SUMIFS(Sites_Current!$D$7:$D$61,Sites_Current!$A$7:$A$61,A19,Sites_Current!$C$7:$C$61,C19)</x:f>
        <x:v>562</x:v>
      </x:c>
      <x:c r="H19" s="80" t="n">
        <x:f>MAX(0,D19-G19)</x:f>
        <x:v>548</x:v>
      </x:c>
      <x:c r="I19" s="80" t="n">
        <x:f>IF(H19=0,0,(E19-SUMIFS(Sites_Current!$E$7:$E$61,Sites_Current!$A$7:$A$61,A19,Sites_Current!$C$7:$C$61,C19))/H19)</x:f>
        <x:v>0.5846715328467152</x:v>
      </x:c>
      <x:c r="J19" s="39" t="str">
        <x:v>Planned / target end-state</x:v>
      </x:c>
      <x:c r="K19" s="39" t="str">
        <x:v>Epoch modeled target-state capex; not necessarily signed</x:v>
      </x:c>
      <x:c r="L19" s="39" t="str">
        <x:v>S01,S02</x:v>
      </x:c>
      <x:c r="M19" s="39" t="str">
        <x:v>https://epoch.ai/data/ai-data-centers</x:v>
      </x:c>
    </x:row>
    <x:row r="20">
      <x:c r="A20" s="48" t="str">
        <x:v>Alphabet / Google</x:v>
      </x:c>
      <x:c r="B20" s="48" t="str">
        <x:v>Google</x:v>
      </x:c>
      <x:c r="C20" s="48" t="str">
        <x:v>Fort Wayne</x:v>
      </x:c>
      <x:c r="D20" s="66" t="n">
        <x:v>1035</x:v>
      </x:c>
      <x:c r="E20" s="66" t="n">
        <x:v>3600</x:v>
      </x:c>
      <x:c r="F20" s="70" t="n">
        <x:v>32.69</x:v>
      </x:c>
      <x:c r="G20" s="80" t="n">
        <x:f>SUMIFS(Sites_Current!$D$7:$D$61,Sites_Current!$A$7:$A$61,A20,Sites_Current!$C$7:$C$61,C20)</x:f>
        <x:v>0</x:v>
      </x:c>
      <x:c r="H20" s="80" t="n">
        <x:f>MAX(0,D20-G20)</x:f>
        <x:v>1035</x:v>
      </x:c>
      <x:c r="I20" s="80" t="n">
        <x:f>IF(H20=0,0,(E20-SUMIFS(Sites_Current!$E$7:$E$61,Sites_Current!$A$7:$A$61,A20,Sites_Current!$C$7:$C$61,C20))/H20)</x:f>
        <x:v>3.4782608695652173</x:v>
      </x:c>
      <x:c r="J20" s="39" t="str">
        <x:v>Planned / target end-state</x:v>
      </x:c>
      <x:c r="K20" s="39" t="str">
        <x:v>Epoch modeled target-state capex; not necessarily signed</x:v>
      </x:c>
      <x:c r="L20" s="39" t="str">
        <x:v>S01,S02</x:v>
      </x:c>
      <x:c r="M20" s="39" t="str">
        <x:v>https://epoch.ai/data/ai-data-centers</x:v>
      </x:c>
    </x:row>
    <x:row r="21">
      <x:c r="A21" s="48" t="str">
        <x:v>Amazon / AWS</x:v>
      </x:c>
      <x:c r="B21" s="48" t="str">
        <x:v>Amazon</x:v>
      </x:c>
      <x:c r="C21" s="48" t="str">
        <x:v>Ridgeland</x:v>
      </x:c>
      <x:c r="D21" s="66" t="n">
        <x:v>1008</x:v>
      </x:c>
      <x:c r="E21" s="66" t="n">
        <x:v>788.3</x:v>
      </x:c>
      <x:c r="F21" s="70" t="n">
        <x:v>31.82</x:v>
      </x:c>
      <x:c r="G21" s="80" t="n">
        <x:f>SUMIFS(Sites_Current!$D$7:$D$61,Sites_Current!$A$7:$A$61,A21,Sites_Current!$C$7:$C$61,C21)</x:f>
        <x:v>228</x:v>
      </x:c>
      <x:c r="H21" s="80" t="n">
        <x:f>MAX(0,D21-G21)</x:f>
        <x:v>780</x:v>
      </x:c>
      <x:c r="I21" s="80" t="n">
        <x:f>IF(H21=0,0,(E21-SUMIFS(Sites_Current!$E$7:$E$61,Sites_Current!$A$7:$A$61,A21,Sites_Current!$C$7:$C$61,C21))/H21)</x:f>
        <x:v>0.791025641025641</x:v>
      </x:c>
      <x:c r="J21" s="39" t="str">
        <x:v>Planned / target end-state</x:v>
      </x:c>
      <x:c r="K21" s="39" t="str">
        <x:v>Epoch modeled target-state capex; not necessarily signed</x:v>
      </x:c>
      <x:c r="L21" s="39" t="str">
        <x:v>S01,S02</x:v>
      </x:c>
      <x:c r="M21" s="39" t="str">
        <x:v>https://epoch.ai/data/ai-data-centers</x:v>
      </x:c>
    </x:row>
    <x:row r="22">
      <x:c r="A22" s="48" t="str">
        <x:v>Crusoe</x:v>
      </x:c>
      <x:c r="B22" s="48" t="str">
        <x:v>Crusoe</x:v>
      </x:c>
      <x:c r="C22" s="48" t="str">
        <x:v>Abilene expansion</x:v>
      </x:c>
      <x:c r="D22" s="66" t="n">
        <x:v>941</x:v>
      </x:c>
      <x:c r="E22" s="66" t="n">
        <x:v>1700</x:v>
      </x:c>
      <x:c r="F22" s="70" t="n">
        <x:v>25.46</x:v>
      </x:c>
      <x:c r="G22" s="80" t="n">
        <x:f>SUMIFS(Sites_Current!$D$7:$D$61,Sites_Current!$A$7:$A$61,A22,Sites_Current!$C$7:$C$61,C22)</x:f>
        <x:v>0</x:v>
      </x:c>
      <x:c r="H22" s="80" t="n">
        <x:f>MAX(0,D22-G22)</x:f>
        <x:v>941</x:v>
      </x:c>
      <x:c r="I22" s="80" t="n">
        <x:f>IF(H22=0,0,(E22-SUMIFS(Sites_Current!$E$7:$E$61,Sites_Current!$A$7:$A$61,A22,Sites_Current!$C$7:$C$61,C22))/H22)</x:f>
        <x:v>1.8065887353878853</x:v>
      </x:c>
      <x:c r="J22" s="39" t="str">
        <x:v>Planned / target end-state</x:v>
      </x:c>
      <x:c r="K22" s="39" t="str">
        <x:v>Epoch modeled target-state capex; not necessarily signed</x:v>
      </x:c>
      <x:c r="L22" s="39" t="str">
        <x:v>S01,S02</x:v>
      </x:c>
      <x:c r="M22" s="39" t="str">
        <x:v>https://epoch.ai/data/ai-data-centers</x:v>
      </x:c>
    </x:row>
    <x:row r="23">
      <x:c r="A23" s="48" t="str">
        <x:v>Amazon / AWS</x:v>
      </x:c>
      <x:c r="B23" s="48" t="str">
        <x:v>Amazon</x:v>
      </x:c>
      <x:c r="C23" s="48" t="str">
        <x:v>Madison</x:v>
      </x:c>
      <x:c r="D23" s="66" t="n">
        <x:v>819</x:v>
      </x:c>
      <x:c r="E23" s="66" t="n">
        <x:v>514.4</x:v>
      </x:c>
      <x:c r="F23" s="70" t="n">
        <x:v>25.87</x:v>
      </x:c>
      <x:c r="G23" s="80" t="n">
        <x:f>SUMIFS(Sites_Current!$D$7:$D$61,Sites_Current!$A$7:$A$61,A23,Sites_Current!$C$7:$C$61,C23)</x:f>
        <x:v>284</x:v>
      </x:c>
      <x:c r="H23" s="80" t="n">
        <x:f>MAX(0,D23-G23)</x:f>
        <x:v>535</x:v>
      </x:c>
      <x:c r="I23" s="80" t="n">
        <x:f>IF(H23=0,0,(E23-SUMIFS(Sites_Current!$E$7:$E$61,Sites_Current!$A$7:$A$61,A23,Sites_Current!$C$7:$C$61,C23))/H23)</x:f>
        <x:v>0.5609345794392523</x:v>
      </x:c>
      <x:c r="J23" s="39" t="str">
        <x:v>Planned / target end-state</x:v>
      </x:c>
      <x:c r="K23" s="39" t="str">
        <x:v>Epoch modeled target-state capex; not necessarily signed</x:v>
      </x:c>
      <x:c r="L23" s="39" t="str">
        <x:v>S01,S02</x:v>
      </x:c>
      <x:c r="M23" s="39" t="str">
        <x:v>https://epoch.ai/data/ai-data-centers</x:v>
      </x:c>
    </x:row>
    <x:row r="24">
      <x:c r="A24" s="48" t="str">
        <x:v>CoreWeave</x:v>
      </x:c>
      <x:c r="B24" s="48" t="str">
        <x:v>CoreWeave</x:v>
      </x:c>
      <x:c r="C24" s="48" t="str">
        <x:v>Helios</x:v>
      </x:c>
      <x:c r="D24" s="66" t="n">
        <x:v>800</x:v>
      </x:c>
      <x:c r="E24" s="66" t="n">
        <x:v>638.2</x:v>
      </x:c>
      <x:c r="F24" s="70" t="n">
        <x:v>20</x:v>
      </x:c>
      <x:c r="G24" s="80" t="n">
        <x:f>SUMIFS(Sites_Current!$D$7:$D$61,Sites_Current!$A$7:$A$61,A24,Sites_Current!$C$7:$C$61,C24)</x:f>
        <x:v>132</x:v>
      </x:c>
      <x:c r="H24" s="80" t="n">
        <x:f>MAX(0,D24-G24)</x:f>
        <x:v>668</x:v>
      </x:c>
      <x:c r="I24" s="80" t="n">
        <x:f>IF(H24=0,0,(E24-SUMIFS(Sites_Current!$E$7:$E$61,Sites_Current!$A$7:$A$61,A24,Sites_Current!$C$7:$C$61,C24))/H24)</x:f>
        <x:v>0.7164670658682635</x:v>
      </x:c>
      <x:c r="J24" s="39" t="str">
        <x:v>Planned / target end-state</x:v>
      </x:c>
      <x:c r="K24" s="39" t="str">
        <x:v>Epoch modeled target-state capex; not necessarily signed</x:v>
      </x:c>
      <x:c r="L24" s="39" t="str">
        <x:v>S01,S02</x:v>
      </x:c>
      <x:c r="M24" s="39" t="str">
        <x:v>https://epoch.ai/data/ai-data-centers</x:v>
      </x:c>
    </x:row>
    <x:row r="25">
      <x:c r="A25" s="48" t="str">
        <x:v>CoreWeave</x:v>
      </x:c>
      <x:c r="B25" s="48" t="str">
        <x:v>CoreWeave</x:v>
      </x:c>
      <x:c r="C25" s="48" t="str">
        <x:v>Ellendale</x:v>
      </x:c>
      <x:c r="D25" s="66" t="n">
        <x:v>520</x:v>
      </x:c>
      <x:c r="E25" s="66" t="n">
        <x:v>505.3</x:v>
      </x:c>
      <x:c r="F25" s="70" t="n">
        <x:v>15.15</x:v>
      </x:c>
      <x:c r="G25" s="80" t="n">
        <x:f>SUMIFS(Sites_Current!$D$7:$D$61,Sites_Current!$A$7:$A$61,A25,Sites_Current!$C$7:$C$61,C25)</x:f>
        <x:v>68</x:v>
      </x:c>
      <x:c r="H25" s="80" t="n">
        <x:f>MAX(0,D25-G25)</x:f>
        <x:v>452</x:v>
      </x:c>
      <x:c r="I25" s="80" t="n">
        <x:f>IF(H25=0,0,(E25-SUMIFS(Sites_Current!$E$7:$E$61,Sites_Current!$A$7:$A$61,A25,Sites_Current!$C$7:$C$61,C25))/H25)</x:f>
        <x:v>0.9110619469026549</x:v>
      </x:c>
      <x:c r="J25" s="39" t="str">
        <x:v>Planned / target end-state</x:v>
      </x:c>
      <x:c r="K25" s="39" t="str">
        <x:v>Epoch modeled target-state capex; not necessarily signed</x:v>
      </x:c>
      <x:c r="L25" s="39" t="str">
        <x:v>S01,S02</x:v>
      </x:c>
      <x:c r="M25" s="39" t="str">
        <x:v>https://epoch.ai/data/ai-data-centers</x:v>
      </x:c>
    </x:row>
    <x:row r="26">
      <x:c r="A26" s="48" t="str">
        <x:v>Alphabet / Google</x:v>
      </x:c>
      <x:c r="B26" s="48" t="str">
        <x:v>Google</x:v>
      </x:c>
      <x:c r="C26" s="48" t="str">
        <x:v>Omaha</x:v>
      </x:c>
      <x:c r="D26" s="66" t="n">
        <x:v>474</x:v>
      </x:c>
      <x:c r="E26" s="66" t="n">
        <x:v>1100</x:v>
      </x:c>
      <x:c r="F26" s="70" t="n">
        <x:v>14.96</x:v>
      </x:c>
      <x:c r="G26" s="80" t="n">
        <x:f>SUMIFS(Sites_Current!$D$7:$D$61,Sites_Current!$A$7:$A$61,A26,Sites_Current!$C$7:$C$61,C26)</x:f>
        <x:v>237</x:v>
      </x:c>
      <x:c r="H26" s="80" t="n">
        <x:f>MAX(0,D26-G26)</x:f>
        <x:v>237</x:v>
      </x:c>
      <x:c r="I26" s="80" t="n">
        <x:f>IF(H26=0,0,(E26-SUMIFS(Sites_Current!$E$7:$E$61,Sites_Current!$A$7:$A$61,A26,Sites_Current!$C$7:$C$61,C26))/H26)</x:f>
        <x:v>3.511392405063291</x:v>
      </x:c>
      <x:c r="J26" s="39" t="str">
        <x:v>Planned / target end-state</x:v>
      </x:c>
      <x:c r="K26" s="39" t="str">
        <x:v>Epoch modeled target-state capex; not necessarily signed</x:v>
      </x:c>
      <x:c r="L26" s="39" t="str">
        <x:v>S01,S02</x:v>
      </x:c>
      <x:c r="M26" s="39" t="str">
        <x:v>https://epoch.ai/data/ai-data-centers</x:v>
      </x:c>
    </x:row>
    <x:row r="27">
      <x:c r="A27" s="48" t="str">
        <x:v>Meta</x:v>
      </x:c>
      <x:c r="B27" s="48" t="str">
        <x:v>Meta</x:v>
      </x:c>
      <x:c r="C27" s="48" t="str">
        <x:v>Montgomery</x:v>
      </x:c>
      <x:c r="D27" s="66" t="n">
        <x:v>465</x:v>
      </x:c>
      <x:c r="E27" s="66" t="n">
        <x:v>407.5</x:v>
      </x:c>
      <x:c r="F27" s="70" t="n">
        <x:v>13.56</x:v>
      </x:c>
      <x:c r="G27" s="80" t="n">
        <x:f>SUMIFS(Sites_Current!$D$7:$D$61,Sites_Current!$A$7:$A$61,A27,Sites_Current!$C$7:$C$61,C27)</x:f>
        <x:v>153</x:v>
      </x:c>
      <x:c r="H27" s="80" t="n">
        <x:f>MAX(0,D27-G27)</x:f>
        <x:v>312</x:v>
      </x:c>
      <x:c r="I27" s="80" t="n">
        <x:f>IF(H27=0,0,(E27-SUMIFS(Sites_Current!$E$7:$E$61,Sites_Current!$A$7:$A$61,A27,Sites_Current!$C$7:$C$61,C27))/H27)</x:f>
        <x:v>0.7467948717948718</x:v>
      </x:c>
      <x:c r="J27" s="39" t="str">
        <x:v>Planned / target end-state</x:v>
      </x:c>
      <x:c r="K27" s="39" t="str">
        <x:v>Epoch modeled target-state capex; not necessarily signed</x:v>
      </x:c>
      <x:c r="L27" s="39" t="str">
        <x:v>S01,S02</x:v>
      </x:c>
      <x:c r="M27" s="39" t="str">
        <x:v>https://epoch.ai/data/ai-data-centers</x:v>
      </x:c>
    </x:row>
    <x:row r="28">
      <x:c r="A28" s="48" t="str">
        <x:v>Alphabet / Google</x:v>
      </x:c>
      <x:c r="B28" s="48" t="str">
        <x:v>Google</x:v>
      </x:c>
      <x:c r="C28" s="48" t="str">
        <x:v>Columbus</x:v>
      </x:c>
      <x:c r="D28" s="66" t="n">
        <x:v>464</x:v>
      </x:c>
      <x:c r="E28" s="66" t="n">
        <x:v>707.4</x:v>
      </x:c>
      <x:c r="F28" s="70" t="n">
        <x:v>14.62</x:v>
      </x:c>
      <x:c r="G28" s="80" t="n">
        <x:f>SUMIFS(Sites_Current!$D$7:$D$61,Sites_Current!$A$7:$A$61,A28,Sites_Current!$C$7:$C$61,C28)</x:f>
        <x:v>303</x:v>
      </x:c>
      <x:c r="H28" s="80" t="n">
        <x:f>MAX(0,D28-G28)</x:f>
        <x:v>161</x:v>
      </x:c>
      <x:c r="I28" s="80" t="n">
        <x:f>IF(H28=0,0,(E28-SUMIFS(Sites_Current!$E$7:$E$61,Sites_Current!$A$7:$A$61,A28,Sites_Current!$C$7:$C$61,C28))/H28)</x:f>
        <x:v>1.8546583850931675</x:v>
      </x:c>
      <x:c r="J28" s="39" t="str">
        <x:v>Planned / target end-state</x:v>
      </x:c>
      <x:c r="K28" s="39" t="str">
        <x:v>Epoch modeled target-state capex; not necessarily signed</x:v>
      </x:c>
      <x:c r="L28" s="39" t="str">
        <x:v>S01,S02</x:v>
      </x:c>
      <x:c r="M28" s="39" t="str">
        <x:v>https://epoch.ai/data/ai-data-centers</x:v>
      </x:c>
    </x:row>
    <x:row r="29">
      <x:c r="A29" s="48" t="str">
        <x:v>Anthropic</x:v>
      </x:c>
      <x:c r="B29" s="48" t="str">
        <x:v>Anthropic / Fluidstack</x:v>
      </x:c>
      <x:c r="C29" s="48" t="str">
        <x:v>Lake Mariner</x:v>
      </x:c>
      <x:c r="D29" s="66" t="n">
        <x:v>441</x:v>
      </x:c>
      <x:c r="E29" s="66" t="n">
        <x:v>527.1</x:v>
      </x:c>
      <x:c r="F29" s="70" t="n">
        <x:v>14.32</x:v>
      </x:c>
      <x:c r="G29" s="80" t="n">
        <x:f>SUMIFS(Sites_Current!$D$7:$D$61,Sites_Current!$A$7:$A$61,A29,Sites_Current!$C$7:$C$61,C29)</x:f>
        <x:v>42</x:v>
      </x:c>
      <x:c r="H29" s="80" t="n">
        <x:f>MAX(0,D29-G29)</x:f>
        <x:v>399</x:v>
      </x:c>
      <x:c r="I29" s="80" t="n">
        <x:f>IF(H29=0,0,(E29-SUMIFS(Sites_Current!$E$7:$E$61,Sites_Current!$A$7:$A$61,A29,Sites_Current!$C$7:$C$61,C29))/H29)</x:f>
        <x:v>1.1741854636591478</x:v>
      </x:c>
      <x:c r="J29" s="39" t="str">
        <x:v>Planned / target end-state</x:v>
      </x:c>
      <x:c r="K29" s="39" t="str">
        <x:v>Epoch modeled target-state capex; not necessarily signed</x:v>
      </x:c>
      <x:c r="L29" s="39" t="str">
        <x:v>S01,S02</x:v>
      </x:c>
      <x:c r="M29" s="39" t="str">
        <x:v>https://epoch.ai/data/ai-data-centers</x:v>
      </x:c>
    </x:row>
    <x:row r="30">
      <x:c r="A30" s="48" t="str">
        <x:v>Amazon / AWS</x:v>
      </x:c>
      <x:c r="B30" s="48" t="str">
        <x:v>Amazon</x:v>
      </x:c>
      <x:c r="C30" s="48" t="str">
        <x:v>New Albany</x:v>
      </x:c>
      <x:c r="D30" s="66" t="n">
        <x:v>405</x:v>
      </x:c>
      <x:c r="E30" s="66" t="n">
        <x:v>351.7</x:v>
      </x:c>
      <x:c r="F30" s="70" t="n">
        <x:v>12.8</x:v>
      </x:c>
      <x:c r="G30" s="80" t="n">
        <x:f>SUMIFS(Sites_Current!$D$7:$D$61,Sites_Current!$A$7:$A$61,A30,Sites_Current!$C$7:$C$61,C30)</x:f>
        <x:v>213</x:v>
      </x:c>
      <x:c r="H30" s="80" t="n">
        <x:f>MAX(0,D30-G30)</x:f>
        <x:v>192</x:v>
      </x:c>
      <x:c r="I30" s="80" t="n">
        <x:f>IF(H30=0,0,(E30-SUMIFS(Sites_Current!$E$7:$E$61,Sites_Current!$A$7:$A$61,A30,Sites_Current!$C$7:$C$61,C30))/H30)</x:f>
        <x:v>0.7843749999999999</x:v>
      </x:c>
      <x:c r="J30" s="39" t="str">
        <x:v>Planned / target end-state</x:v>
      </x:c>
      <x:c r="K30" s="39" t="str">
        <x:v>Epoch modeled target-state capex; not necessarily signed</x:v>
      </x:c>
      <x:c r="L30" s="39" t="str">
        <x:v>S01,S02</x:v>
      </x:c>
      <x:c r="M30" s="39" t="str">
        <x:v>https://epoch.ai/data/ai-data-centers</x:v>
      </x:c>
    </x:row>
    <x:row r="31">
      <x:c r="A31" s="48" t="str">
        <x:v>CoreWeave</x:v>
      </x:c>
      <x:c r="B31" s="48" t="str">
        <x:v>CoreWeave</x:v>
      </x:c>
      <x:c r="C31" s="48" t="str">
        <x:v>Denton</x:v>
      </x:c>
      <x:c r="D31" s="66" t="n">
        <x:v>395</x:v>
      </x:c>
      <x:c r="E31" s="66" t="n">
        <x:v>271.9</x:v>
      </x:c>
      <x:c r="F31" s="70" t="n">
        <x:v>10.68</x:v>
      </x:c>
      <x:c r="G31" s="80" t="n">
        <x:f>SUMIFS(Sites_Current!$D$7:$D$61,Sites_Current!$A$7:$A$61,A31,Sites_Current!$C$7:$C$61,C31)</x:f>
        <x:v>262</x:v>
      </x:c>
      <x:c r="H31" s="80" t="n">
        <x:f>MAX(0,D31-G31)</x:f>
        <x:v>133</x:v>
      </x:c>
      <x:c r="I31" s="80" t="n">
        <x:f>IF(H31=0,0,(E31-SUMIFS(Sites_Current!$E$7:$E$61,Sites_Current!$A$7:$A$61,A31,Sites_Current!$C$7:$C$61,C31))/H31)</x:f>
        <x:v>0.14436090225563902</x:v>
      </x:c>
      <x:c r="J31" s="39" t="str">
        <x:v>Planned / target end-state</x:v>
      </x:c>
      <x:c r="K31" s="39" t="str">
        <x:v>Epoch modeled target-state capex; not necessarily signed</x:v>
      </x:c>
      <x:c r="L31" s="39" t="str">
        <x:v>S01,S02</x:v>
      </x:c>
      <x:c r="M31" s="39" t="str">
        <x:v>https://epoch.ai/data/ai-data-centers</x:v>
      </x:c>
    </x:row>
    <x:row r="32">
      <x:c r="A32" s="48" t="str">
        <x:v>Alphabet / Google</x:v>
      </x:c>
      <x:c r="B32" s="48" t="str">
        <x:v>Google</x:v>
      </x:c>
      <x:c r="C32" s="48" t="str">
        <x:v>Storey</x:v>
      </x:c>
      <x:c r="D32" s="66" t="n">
        <x:v>389</x:v>
      </x:c>
      <x:c r="E32" s="66" t="n">
        <x:v>651.8</x:v>
      </x:c>
      <x:c r="F32" s="70" t="n">
        <x:v>11.36</x:v>
      </x:c>
      <x:c r="G32" s="80" t="n">
        <x:f>SUMIFS(Sites_Current!$D$7:$D$61,Sites_Current!$A$7:$A$61,A32,Sites_Current!$C$7:$C$61,C32)</x:f>
        <x:v>161</x:v>
      </x:c>
      <x:c r="H32" s="80" t="n">
        <x:f>MAX(0,D32-G32)</x:f>
        <x:v>228</x:v>
      </x:c>
      <x:c r="I32" s="80" t="n">
        <x:f>IF(H32=0,0,(E32-SUMIFS(Sites_Current!$E$7:$E$61,Sites_Current!$A$7:$A$61,A32,Sites_Current!$C$7:$C$61,C32))/H32)</x:f>
        <x:v>2.185087719298245</x:v>
      </x:c>
      <x:c r="J32" s="39" t="str">
        <x:v>Planned / target end-state</x:v>
      </x:c>
      <x:c r="K32" s="39" t="str">
        <x:v>Epoch modeled target-state capex; not necessarily signed</x:v>
      </x:c>
      <x:c r="L32" s="39" t="str">
        <x:v>S01,S02</x:v>
      </x:c>
      <x:c r="M32" s="39" t="str">
        <x:v>https://epoch.ai/data/ai-data-centers</x:v>
      </x:c>
    </x:row>
    <x:row r="33">
      <x:c r="A33" s="48" t="str">
        <x:v>Alphabet / Google</x:v>
      </x:c>
      <x:c r="B33" s="48" t="str">
        <x:v>Google</x:v>
      </x:c>
      <x:c r="C33" s="48" t="str">
        <x:v>Lincoln</x:v>
      </x:c>
      <x:c r="D33" s="66" t="n">
        <x:v>339</x:v>
      </x:c>
      <x:c r="E33" s="66" t="n">
        <x:v>869.1</x:v>
      </x:c>
      <x:c r="F33" s="70" t="n">
        <x:v>10.72</x:v>
      </x:c>
      <x:c r="G33" s="80" t="n">
        <x:f>SUMIFS(Sites_Current!$D$7:$D$61,Sites_Current!$A$7:$A$61,A33,Sites_Current!$C$7:$C$61,C33)</x:f>
        <x:v>141</x:v>
      </x:c>
      <x:c r="H33" s="80" t="n">
        <x:f>MAX(0,D33-G33)</x:f>
        <x:v>198</x:v>
      </x:c>
      <x:c r="I33" s="80" t="n">
        <x:f>IF(H33=0,0,(E33-SUMIFS(Sites_Current!$E$7:$E$61,Sites_Current!$A$7:$A$61,A33,Sites_Current!$C$7:$C$61,C33))/H33)</x:f>
        <x:v>2.9373737373737376</x:v>
      </x:c>
      <x:c r="J33" s="39" t="str">
        <x:v>Planned / target end-state</x:v>
      </x:c>
      <x:c r="K33" s="39" t="str">
        <x:v>Epoch modeled target-state capex; not necessarily signed</x:v>
      </x:c>
      <x:c r="L33" s="39" t="str">
        <x:v>S01,S02</x:v>
      </x:c>
      <x:c r="M33" s="39" t="str">
        <x:v>https://epoch.ai/data/ai-data-centers</x:v>
      </x:c>
    </x:row>
    <x:row r="34">
      <x:c r="A34" s="48" t="str">
        <x:v>Alphabet / Google</x:v>
      </x:c>
      <x:c r="B34" s="48" t="str">
        <x:v>Google</x:v>
      </x:c>
      <x:c r="C34" s="48" t="str">
        <x:v>Cedar Rapids</x:v>
      </x:c>
      <x:c r="D34" s="66" t="n">
        <x:v>314</x:v>
      </x:c>
      <x:c r="E34" s="66" t="n">
        <x:v>816.3</x:v>
      </x:c>
      <x:c r="F34" s="70" t="n">
        <x:v>9.89</x:v>
      </x:c>
      <x:c r="G34" s="80" t="n">
        <x:f>SUMIFS(Sites_Current!$D$7:$D$61,Sites_Current!$A$7:$A$61,A34,Sites_Current!$C$7:$C$61,C34)</x:f>
        <x:v>0</x:v>
      </x:c>
      <x:c r="H34" s="80" t="n">
        <x:f>MAX(0,D34-G34)</x:f>
        <x:v>314</x:v>
      </x:c>
      <x:c r="I34" s="80" t="n">
        <x:f>IF(H34=0,0,(E34-SUMIFS(Sites_Current!$E$7:$E$61,Sites_Current!$A$7:$A$61,A34,Sites_Current!$C$7:$C$61,C34))/H34)</x:f>
        <x:v>2.5996815286624204</x:v>
      </x:c>
      <x:c r="J34" s="39" t="str">
        <x:v>Planned / target end-state</x:v>
      </x:c>
      <x:c r="K34" s="39" t="str">
        <x:v>Epoch modeled target-state capex; not necessarily signed</x:v>
      </x:c>
      <x:c r="L34" s="39" t="str">
        <x:v>S01,S02</x:v>
      </x:c>
      <x:c r="M34" s="39" t="str">
        <x:v>https://epoch.ai/data/ai-data-centers</x:v>
      </x:c>
    </x:row>
    <x:row r="35">
      <x:c r="A35" s="48" t="str">
        <x:v>Anthropic</x:v>
      </x:c>
      <x:c r="B35" s="48" t="str">
        <x:v>Anthropic</x:v>
      </x:c>
      <x:c r="C35" s="48" t="str">
        <x:v>Barber Lake</x:v>
      </x:c>
      <x:c r="D35" s="66" t="n">
        <x:v>300</x:v>
      </x:c>
      <x:c r="E35" s="66" t="n">
        <x:v>288.5</x:v>
      </x:c>
      <x:c r="F35" s="70" t="n">
        <x:v>7.84</x:v>
      </x:c>
      <x:c r="G35" s="80" t="n">
        <x:f>SUMIFS(Sites_Current!$D$7:$D$61,Sites_Current!$A$7:$A$61,A35,Sites_Current!$C$7:$C$61,C35)</x:f>
        <x:v>0</x:v>
      </x:c>
      <x:c r="H35" s="80" t="n">
        <x:f>MAX(0,D35-G35)</x:f>
        <x:v>300</x:v>
      </x:c>
      <x:c r="I35" s="80" t="n">
        <x:f>IF(H35=0,0,(E35-SUMIFS(Sites_Current!$E$7:$E$61,Sites_Current!$A$7:$A$61,A35,Sites_Current!$C$7:$C$61,C35))/H35)</x:f>
        <x:v>0.9616666666666667</x:v>
      </x:c>
      <x:c r="J35" s="39" t="str">
        <x:v>Planned / target end-state</x:v>
      </x:c>
      <x:c r="K35" s="39" t="str">
        <x:v>Epoch modeled target-state capex; not necessarily signed</x:v>
      </x:c>
      <x:c r="L35" s="39" t="str">
        <x:v>S01,S02</x:v>
      </x:c>
      <x:c r="M35" s="39" t="str">
        <x:v>https://epoch.ai/data/ai-data-centers</x:v>
      </x:c>
    </x:row>
    <x:row r="36">
      <x:c r="A36" s="48" t="str">
        <x:v>OpenAI</x:v>
      </x:c>
      <x:c r="B36" s="48" t="str">
        <x:v>OpenAI</x:v>
      </x:c>
      <x:c r="C36" s="48" t="str">
        <x:v>Lordstown</x:v>
      </x:c>
      <x:c r="D36" s="66" t="n">
        <x:v>300</x:v>
      </x:c>
      <x:c r="E36" s="66" t="n">
        <x:v>545.7</x:v>
      </x:c>
      <x:c r="F36" s="70" t="n">
        <x:v>8.11</x:v>
      </x:c>
      <x:c r="G36" s="80" t="n">
        <x:f>SUMIFS(Sites_Current!$D$7:$D$61,Sites_Current!$A$7:$A$61,A36,Sites_Current!$C$7:$C$61,C36)</x:f>
        <x:v>0</x:v>
      </x:c>
      <x:c r="H36" s="80" t="n">
        <x:f>MAX(0,D36-G36)</x:f>
        <x:v>300</x:v>
      </x:c>
      <x:c r="I36" s="80" t="n">
        <x:f>IF(H36=0,0,(E36-SUMIFS(Sites_Current!$E$7:$E$61,Sites_Current!$A$7:$A$61,A36,Sites_Current!$C$7:$C$61,C36))/H36)</x:f>
        <x:v>1.8190000000000002</x:v>
      </x:c>
      <x:c r="J36" s="39" t="str">
        <x:v>Planned / target end-state</x:v>
      </x:c>
      <x:c r="K36" s="39" t="str">
        <x:v>Epoch modeled target-state capex; not necessarily signed</x:v>
      </x:c>
      <x:c r="L36" s="39" t="str">
        <x:v>S01,S02</x:v>
      </x:c>
      <x:c r="M36" s="39" t="str">
        <x:v>https://epoch.ai/data/ai-data-centers</x:v>
      </x:c>
    </x:row>
    <x:row r="37">
      <x:c r="A37" s="48" t="str">
        <x:v>Meta</x:v>
      </x:c>
      <x:c r="B37" s="48" t="str">
        <x:v>Meta</x:v>
      </x:c>
      <x:c r="C37" s="48" t="str">
        <x:v>Cheyenne</x:v>
      </x:c>
      <x:c r="D37" s="66" t="n">
        <x:v>264</x:v>
      </x:c>
      <x:c r="E37" s="66" t="n">
        <x:v>251.1</x:v>
      </x:c>
      <x:c r="F37" s="70" t="n">
        <x:v>8.33</x:v>
      </x:c>
      <x:c r="G37" s="80" t="n">
        <x:f>SUMIFS(Sites_Current!$D$7:$D$61,Sites_Current!$A$7:$A$61,A37,Sites_Current!$C$7:$C$61,C37)</x:f>
        <x:v>152</x:v>
      </x:c>
      <x:c r="H37" s="80" t="n">
        <x:f>MAX(0,D37-G37)</x:f>
        <x:v>112</x:v>
      </x:c>
      <x:c r="I37" s="80" t="n">
        <x:f>IF(H37=0,0,(E37-SUMIFS(Sites_Current!$E$7:$E$61,Sites_Current!$A$7:$A$61,A37,Sites_Current!$C$7:$C$61,C37))/H37)</x:f>
        <x:v>0.6991071428571427</x:v>
      </x:c>
      <x:c r="J37" s="39" t="str">
        <x:v>Planned / target end-state</x:v>
      </x:c>
      <x:c r="K37" s="39" t="str">
        <x:v>Epoch modeled target-state capex; not necessarily signed</x:v>
      </x:c>
      <x:c r="L37" s="39" t="str">
        <x:v>S01,S02</x:v>
      </x:c>
      <x:c r="M37" s="39" t="str">
        <x:v>https://epoch.ai/data/ai-data-centers</x:v>
      </x:c>
    </x:row>
    <x:row r="38">
      <x:c r="A38" s="48" t="str">
        <x:v>Meta</x:v>
      </x:c>
      <x:c r="B38" s="48" t="str">
        <x:v>Meta</x:v>
      </x:c>
      <x:c r="C38" s="48" t="str">
        <x:v>Temple</x:v>
      </x:c>
      <x:c r="D38" s="66" t="n">
        <x:v>231</x:v>
      </x:c>
      <x:c r="E38" s="66" t="n">
        <x:v>202.5</x:v>
      </x:c>
      <x:c r="F38" s="70" t="n">
        <x:v>6.74</x:v>
      </x:c>
      <x:c r="G38" s="80" t="n">
        <x:f>SUMIFS(Sites_Current!$D$7:$D$61,Sites_Current!$A$7:$A$61,A38,Sites_Current!$C$7:$C$61,C38)</x:f>
        <x:v>152</x:v>
      </x:c>
      <x:c r="H38" s="80" t="n">
        <x:f>MAX(0,D38-G38)</x:f>
        <x:v>79</x:v>
      </x:c>
      <x:c r="I38" s="80" t="n">
        <x:f>IF(H38=0,0,(E38-SUMIFS(Sites_Current!$E$7:$E$61,Sites_Current!$A$7:$A$61,A38,Sites_Current!$C$7:$C$61,C38))/H38)</x:f>
        <x:v>0.37088607594936723</x:v>
      </x:c>
      <x:c r="J38" s="39" t="str">
        <x:v>Planned / target end-state</x:v>
      </x:c>
      <x:c r="K38" s="39" t="str">
        <x:v>Epoch modeled target-state capex; not necessarily signed</x:v>
      </x:c>
      <x:c r="L38" s="39" t="str">
        <x:v>S01,S02</x:v>
      </x:c>
      <x:c r="M38" s="39" t="str">
        <x:v>https://epoch.ai/data/ai-data-centers</x:v>
      </x:c>
    </x:row>
    <x:row r="39">
      <x:c r="A39" s="48" t="str">
        <x:v>Amazon / AWS</x:v>
      </x:c>
      <x:c r="B39" s="48" t="str">
        <x:v>Amazon</x:v>
      </x:c>
      <x:c r="C39" s="48" t="str">
        <x:v>Berwick</x:v>
      </x:c>
      <x:c r="D39" s="66" t="n">
        <x:v>212</x:v>
      </x:c>
      <x:c r="E39" s="66" t="n">
        <x:v>145</x:v>
      </x:c>
      <x:c r="F39" s="70" t="n">
        <x:v>6.4</x:v>
      </x:c>
      <x:c r="G39" s="80" t="n">
        <x:f>SUMIFS(Sites_Current!$D$7:$D$61,Sites_Current!$A$7:$A$61,A39,Sites_Current!$C$7:$C$61,C39)</x:f>
        <x:v>108</x:v>
      </x:c>
      <x:c r="H39" s="80" t="n">
        <x:f>MAX(0,D39-G39)</x:f>
        <x:v>104</x:v>
      </x:c>
      <x:c r="I39" s="80" t="n">
        <x:f>IF(H39=0,0,(E39-SUMIFS(Sites_Current!$E$7:$E$61,Sites_Current!$A$7:$A$61,A39,Sites_Current!$C$7:$C$61,C39))/H39)</x:f>
        <x:v>0.6115384615384615</x:v>
      </x:c>
      <x:c r="J39" s="39" t="str">
        <x:v>Planned / target end-state</x:v>
      </x:c>
      <x:c r="K39" s="39" t="str">
        <x:v>Epoch modeled target-state capex; not necessarily signed</x:v>
      </x:c>
      <x:c r="L39" s="39" t="str">
        <x:v>S01,S02</x:v>
      </x:c>
      <x:c r="M39" s="39" t="str">
        <x:v>https://epoch.ai/data/ai-data-centers</x:v>
      </x:c>
    </x:row>
    <x:row r="40">
      <x:c r="A40" s="48" t="str">
        <x:v>CoreWeave</x:v>
      </x:c>
      <x:c r="B40" s="48" t="str">
        <x:v>CoreWeave</x:v>
      </x:c>
      <x:c r="C40" s="48" t="str">
        <x:v>Chester</x:v>
      </x:c>
      <x:c r="D40" s="66" t="n">
        <x:v>197</x:v>
      </x:c>
      <x:c r="E40" s="66" t="n">
        <x:v>125.8</x:v>
      </x:c>
      <x:c r="F40" s="70" t="n">
        <x:v>4.28</x:v>
      </x:c>
      <x:c r="G40" s="80" t="n">
        <x:f>SUMIFS(Sites_Current!$D$7:$D$61,Sites_Current!$A$7:$A$61,A40,Sites_Current!$C$7:$C$61,C40)</x:f>
        <x:v>82</x:v>
      </x:c>
      <x:c r="H40" s="80" t="n">
        <x:f>MAX(0,D40-G40)</x:f>
        <x:v>115</x:v>
      </x:c>
      <x:c r="I40" s="80" t="n">
        <x:f>IF(H40=0,0,(E40-SUMIFS(Sites_Current!$E$7:$E$61,Sites_Current!$A$7:$A$61,A40,Sites_Current!$C$7:$C$61,C40))/H40)</x:f>
        <x:v>0.32521739130434774</x:v>
      </x:c>
      <x:c r="J40" s="39" t="str">
        <x:v>Planned / target end-state</x:v>
      </x:c>
      <x:c r="K40" s="39" t="str">
        <x:v>Epoch modeled target-state capex; not necessarily signed</x:v>
      </x:c>
      <x:c r="L40" s="39" t="str">
        <x:v>S01,S02</x:v>
      </x:c>
      <x:c r="M40" s="39" t="str">
        <x:v>https://epoch.ai/data/ai-data-centers</x:v>
      </x:c>
    </x:row>
    <x:row r="41">
      <x:c r="A41" s="48" t="str">
        <x:v>Alphabet / Google</x:v>
      </x:c>
      <x:c r="B41" s="48" t="str">
        <x:v>Google</x:v>
      </x:c>
      <x:c r="C41" s="48" t="str">
        <x:v>Red Oak</x:v>
      </x:c>
      <x:c r="D41" s="66" t="n">
        <x:v>185</x:v>
      </x:c>
      <x:c r="E41" s="66" t="n">
        <x:v>315.8</x:v>
      </x:c>
      <x:c r="F41" s="70" t="n">
        <x:v>5.83</x:v>
      </x:c>
      <x:c r="G41" s="80" t="n">
        <x:f>SUMIFS(Sites_Current!$D$7:$D$61,Sites_Current!$A$7:$A$61,A41,Sites_Current!$C$7:$C$61,C41)</x:f>
        <x:v>77</x:v>
      </x:c>
      <x:c r="H41" s="80" t="n">
        <x:f>MAX(0,D41-G41)</x:f>
        <x:v>108</x:v>
      </x:c>
      <x:c r="I41" s="80" t="n">
        <x:f>IF(H41=0,0,(E41-SUMIFS(Sites_Current!$E$7:$E$61,Sites_Current!$A$7:$A$61,A41,Sites_Current!$C$7:$C$61,C41))/H41)</x:f>
        <x:v>1.9231481481481483</x:v>
      </x:c>
      <x:c r="J41" s="39" t="str">
        <x:v>Planned / target end-state</x:v>
      </x:c>
      <x:c r="K41" s="39" t="str">
        <x:v>Epoch modeled target-state capex; not necessarily signed</x:v>
      </x:c>
      <x:c r="L41" s="39" t="str">
        <x:v>S01,S02</x:v>
      </x:c>
      <x:c r="M41" s="39" t="str">
        <x:v>https://epoch.ai/data/ai-data-centers</x:v>
      </x:c>
    </x:row>
    <x:row r="42">
      <x:c r="A42" s="48" t="str">
        <x:v>CoreWeave</x:v>
      </x:c>
      <x:c r="B42" s="48" t="str">
        <x:v>CoreWeave</x:v>
      </x:c>
      <x:c r="C42" s="48" t="str">
        <x:v>Muskogee</x:v>
      </x:c>
      <x:c r="D42" s="66" t="n">
        <x:v>181</x:v>
      </x:c>
      <x:c r="E42" s="66" t="n">
        <x:v>198.1</x:v>
      </x:c>
      <x:c r="F42" s="70" t="n">
        <x:v>5.8</x:v>
      </x:c>
      <x:c r="G42" s="80" t="n">
        <x:f>SUMIFS(Sites_Current!$D$7:$D$61,Sites_Current!$A$7:$A$61,A42,Sites_Current!$C$7:$C$61,C42)</x:f>
        <x:v>0</x:v>
      </x:c>
      <x:c r="H42" s="80" t="n">
        <x:f>MAX(0,D42-G42)</x:f>
        <x:v>181</x:v>
      </x:c>
      <x:c r="I42" s="80" t="n">
        <x:f>IF(H42=0,0,(E42-SUMIFS(Sites_Current!$E$7:$E$61,Sites_Current!$A$7:$A$61,A42,Sites_Current!$C$7:$C$61,C42))/H42)</x:f>
        <x:v>1.094475138121547</x:v>
      </x:c>
      <x:c r="J42" s="39" t="str">
        <x:v>Planned / target end-state</x:v>
      </x:c>
      <x:c r="K42" s="39" t="str">
        <x:v>Epoch modeled target-state capex; not necessarily signed</x:v>
      </x:c>
      <x:c r="L42" s="39" t="str">
        <x:v>S01,S02</x:v>
      </x:c>
      <x:c r="M42" s="39" t="str">
        <x:v>https://epoch.ai/data/ai-data-centers</x:v>
      </x:c>
    </x:row>
    <x:row r="43">
      <x:c r="A43" s="54" t="str">
        <x:v>Microsoft</x:v>
      </x:c>
      <x:c r="B43" s="54" t="str">
        <x:v>Microsoft</x:v>
      </x:c>
      <x:c r="C43" s="54" t="str">
        <x:v>Narvik</x:v>
      </x:c>
      <x:c r="D43" s="67" t="n">
        <x:v>124</x:v>
      </x:c>
      <x:c r="E43" s="67" t="n">
        <x:v>265.3</x:v>
      </x:c>
      <x:c r="F43" s="71" t="n">
        <x:v>3.49</x:v>
      </x:c>
      <x:c r="G43" s="81" t="n">
        <x:f>SUMIFS(Sites_Current!$D$7:$D$61,Sites_Current!$A$7:$A$61,A43,Sites_Current!$C$7:$C$61,C43)</x:f>
        <x:v>0</x:v>
      </x:c>
      <x:c r="H43" s="81" t="n">
        <x:f>MAX(0,D43-G43)</x:f>
        <x:v>124</x:v>
      </x:c>
      <x:c r="I43" s="81" t="n">
        <x:f>IF(H43=0,0,(E43-SUMIFS(Sites_Current!$E$7:$E$61,Sites_Current!$A$7:$A$61,A43,Sites_Current!$C$7:$C$61,C43))/H43)</x:f>
        <x:v>2.139516129032258</x:v>
      </x:c>
      <x:c r="J43" s="40" t="str">
        <x:v>Planned / target end-state</x:v>
      </x:c>
      <x:c r="K43" s="40" t="str">
        <x:v>Epoch modeled target-state capex; not necessarily signed</x:v>
      </x:c>
      <x:c r="L43" s="40" t="str">
        <x:v>S01,S02</x:v>
      </x:c>
      <x:c r="M43" s="40" t="str">
        <x:v>https://epoch.ai/data/ai-data-centers</x:v>
      </x:c>
    </x:row>
  </x:sheetData>
  <x:mergeCells>
    <x:mergeCell ref="A1:M2"/>
    <x:mergeCell ref="A3:M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14" hidden="0" customWidth="1"/>
    <x:col min="4" max="4" width="17" hidden="0" customWidth="1"/>
    <x:col min="5" max="5" width="15" hidden="0" customWidth="1"/>
    <x:col min="6" max="6" width="17" hidden="0" customWidth="1"/>
    <x:col min="7" max="7" width="17" hidden="0" customWidth="1"/>
    <x:col min="8" max="8" width="20" hidden="0" customWidth="1"/>
    <x:col min="9" max="9" width="15" hidden="0" customWidth="1"/>
    <x:col min="10" max="10" width="15" hidden="0" customWidth="1"/>
    <x:col min="11" max="11" width="18" hidden="0" customWidth="1"/>
    <x:col min="12" max="12" width="20" hidden="0" customWidth="1"/>
    <x:col min="13" max="13" width="16" hidden="0" customWidth="1"/>
    <x:col min="14" max="14" width="52" hidden="0" customWidth="1"/>
    <x:col min="15" max="15" width="20" hidden="0" customWidth="1"/>
    <x:col min="16" max="16" width="14" hidden="0" customWidth="1"/>
    <x:col min="17" max="17" width="15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35" hidden="0" customWidth="1"/>
    <x:col min="27" max="27" width="42" hidden="0" customWidth="1"/>
  </x:cols>
  <x:sheetData>
    <x:row r="1">
      <x:c r="A1" s="5" t="str">
        <x:v>Company compute summary: site floor, fleet model and reconciled current capacity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3" t="str">
        <x:v>Reconciled current capacity is the maximum of named sites, Q4 2025 chip-owner model and later company-disclosed active power. Fleet IT power uses the 2.0x facility/TDP and 1.25 PUE bridge. S01,S04,S05.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6" ht="56" customHeight="1">
      <x:c r="A6" s="28" t="str">
        <x:v>Company</x:v>
      </x:c>
      <x:c r="B6" s="28" t="str">
        <x:v>Ticker</x:v>
      </x:c>
      <x:c r="C6" s="28" t="str">
        <x:v>Named-site IT GW</x:v>
      </x:c>
      <x:c r="D6" s="28" t="str">
        <x:v>Named-site H100e (M)</x:v>
      </x:c>
      <x:c r="E6" s="28" t="str">
        <x:v>Q4 2025 H100e (M)</x:v>
      </x:c>
      <x:c r="F6" s="28" t="str">
        <x:v>Q4 2025 accelerator TDP GW</x:v>
      </x:c>
      <x:c r="G6" s="28" t="str">
        <x:v>Later active IT GW</x:v>
      </x:c>
      <x:c r="H6" s="28" t="str">
        <x:v>Later disclosed/modeled H100e (M)</x:v>
      </x:c>
      <x:c r="I6" s="28" t="str">
        <x:v>Modeled fleet IT GW</x:v>
      </x:c>
      <x:c r="J6" s="28" t="str">
        <x:v>Modeled facility GW</x:v>
      </x:c>
      <x:c r="K6" s="28" t="str">
        <x:v>Reconciled current IT GW</x:v>
      </x:c>
      <x:c r="L6" s="28" t="str">
        <x:v>Reconciled current H100e (M)</x:v>
      </x:c>
      <x:c r="M6" s="28" t="str">
        <x:v>Future capacity GW</x:v>
      </x:c>
      <x:c r="N6" s="28" t="str">
        <x:v>Future basis</x:v>
      </x:c>
      <x:c r="O6" s="28" t="str">
        <x:v>Source IDs</x:v>
      </x:c>
      <x:c r="P6" s="333" t="str">
        <x:v>H100e / IT GW (M)</x:v>
      </x:c>
      <x:c r="Q6" s="334" t="str">
        <x:v>Comparable capex ($B / IT GW)</x:v>
      </x:c>
      <x:c r="R6" s="334" t="str">
        <x:v>Annual TCO ($B / IT GW-year)</x:v>
      </x:c>
      <x:c r="S6" s="334" t="str">
        <x:v>Current fleet replacement ($B)</x:v>
      </x:c>
      <x:c r="T6" s="334" t="str">
        <x:v>Current annual TCO ($B/year)</x:v>
      </x:c>
      <x:c r="U6" s="334" t="str">
        <x:v>Future indicator full-stack equivalent ($B)</x:v>
      </x:c>
      <x:c r="V6" s="334" t="str">
        <x:v>Capex / H100e ($000)</x:v>
      </x:c>
      <x:c r="W6" s="334" t="str">
        <x:v>Cost / H100e-hour ($)</x:v>
      </x:c>
      <x:c r="X6" s="334" t="str">
        <x:v>Current replacement / MCap</x:v>
      </x:c>
      <x:c r="Y6" s="334" t="str">
        <x:v>Future indicator / MCap</x:v>
      </x:c>
      <x:c r="Z6" s="334" t="str">
        <x:v>Direct observed cost / GW</x:v>
      </x:c>
      <x:c r="AA6" s="335" t="str">
        <x:v>Observed layer / source</x:v>
      </x:c>
    </x:row>
    <x:row r="7" ht="58" customHeight="1">
      <x:c r="A7" s="48" t="str">
        <x:v>Amazon / AWS</x:v>
      </x:c>
      <x:c r="B7" s="48" t="str">
        <x:v>AMZN</x:v>
      </x:c>
      <x:c r="C7" s="84" t="n">
        <x:f>SUMIF(Sites_Current!$A$7:$A$61,A7,Sites_Current!$D$7:$D$61)/1000</x:f>
        <x:v>1.743</x:v>
      </x:c>
      <x:c r="D7" s="84" t="n">
        <x:f>SUMIF(Sites_Current!$A$7:$A$61,A7,Sites_Current!$E$7:$E$61)/1000</x:f>
        <x:v>1.354</x:v>
      </x:c>
      <x:c r="E7" s="50" t="n">
        <x:v>2.460403</x:v>
      </x:c>
      <x:c r="F7" s="50" t="n">
        <x:v>1.679</x:v>
      </x:c>
      <x:c r="G7" s="50"/>
      <x:c r="H7" s="50"/>
      <x:c r="I7" s="84" t="n">
        <x:f>IF(F7=0,0,F7*Normalization!$B$8/Normalization!$B$9)</x:f>
        <x:v>2.6864</x:v>
      </x:c>
      <x:c r="J7" s="84" t="n">
        <x:f>IF(F7=0,0,F7*Normalization!$B$8)</x:f>
        <x:v>3.358</x:v>
      </x:c>
      <x:c r="K7" s="74" t="n">
        <x:f>MAX(C7,G7,I7)</x:f>
        <x:v>2.6864</x:v>
      </x:c>
      <x:c r="L7" s="74" t="n">
        <x:f>MAX(D7,E7,H7)</x:f>
        <x:v>2.460403</x:v>
      </x:c>
      <x:c r="M7" s="50" t="n">
        <x:v>5</x:v>
      </x:c>
      <x:c r="N7" s="48" t="str">
        <x:v>Up to 5 GW new capacity signed with Anthropic</x:v>
      </x:c>
      <x:c r="O7" s="48" t="str">
        <x:v>S01,S04,S05,S23,S24</x:v>
      </x:c>
      <x:c r="P7" s="372" t="n">
        <x:f>L7/K7</x:f>
        <x:v>0.9158736599166171</x:v>
      </x:c>
      <x:c r="Q7" s="373" t="n">
        <x:f>37.883</x:f>
        <x:v>37.883</x:v>
      </x:c>
      <x:c r="R7" s="373" t="n">
        <x:f>8.514</x:f>
        <x:v>8.514</x:v>
      </x:c>
      <x:c r="S7" s="373" t="n">
        <x:f>K7*Q7</x:f>
        <x:v>101.7688912</x:v>
      </x:c>
      <x:c r="T7" s="373" t="n">
        <x:f>K7*R7</x:f>
        <x:v>22.8720096</x:v>
      </x:c>
      <x:c r="U7" s="373" t="n">
        <x:f>M7*Q7</x:f>
        <x:v>189.41500000000002</x:v>
      </x:c>
      <x:c r="V7" s="374" t="n">
        <x:f>Q7/P7</x:f>
        <x:v>41.362691884215714</x:v>
      </x:c>
      <x:c r="W7" s="375" t="n">
        <x:f>R7*1000/(P7*8760*71%)</x:f>
        <x:v>1.4946366309520127</x:v>
      </x:c>
      <x:c r="X7" s="376" t="n">
        <x:f>S7/Stock_Implications!D7</x:f>
        <x:v>0.03593188791935052</x:v>
      </x:c>
      <x:c r="Y7" s="376" t="n">
        <x:f>U7/Stock_Implications!D7</x:f>
        <x:v>0.066877397110167</x:v>
      </x:c>
      <x:c r="Z7" s="337" t="str">
        <x:v>$7.81B/IT-GW campus capex; $2.00B/IT-GW-year customer service</x:v>
      </x:c>
      <x:c r="AA7" s="342" t="str">
        <x:v>Campus infrastructure + customer service [S24,S26; Model]</x:v>
      </x:c>
    </x:row>
    <x:row r="8" ht="58" customHeight="1">
      <x:c r="A8" s="48" t="str">
        <x:v>Microsoft</x:v>
      </x:c>
      <x:c r="B8" s="48" t="str">
        <x:v>MSFT</x:v>
      </x:c>
      <x:c r="C8" s="84" t="n">
        <x:f>SUMIF(Sites_Current!$A$7:$A$61,A8,Sites_Current!$D$7:$D$61)/1000</x:f>
        <x:v>1.569</x:v>
      </x:c>
      <x:c r="D8" s="84" t="n">
        <x:f>SUMIF(Sites_Current!$A$7:$A$61,A8,Sites_Current!$E$7:$E$61)/1000</x:f>
        <x:v>1.742</x:v>
      </x:c>
      <x:c r="E8" s="50" t="n">
        <x:v>3.504457</x:v>
      </x:c>
      <x:c r="F8" s="50" t="n">
        <x:v>2.065</x:v>
      </x:c>
      <x:c r="G8" s="50"/>
      <x:c r="H8" s="50"/>
      <x:c r="I8" s="84" t="n">
        <x:f>IF(F8=0,0,F8*Normalization!$B$8/Normalization!$B$9)</x:f>
        <x:v>3.304</x:v>
      </x:c>
      <x:c r="J8" s="84" t="n">
        <x:f>IF(F8=0,0,F8*Normalization!$B$8)</x:f>
        <x:v>4.13</x:v>
      </x:c>
      <x:c r="K8" s="74" t="n">
        <x:f>MAX(C8,G8,I8)</x:f>
        <x:v>3.304</x:v>
      </x:c>
      <x:c r="L8" s="74" t="n">
        <x:f>MAX(D8,E8,H8)</x:f>
        <x:v>3.504457</x:v>
      </x:c>
      <x:c r="M8" s="50" t="n">
        <x:v>0.662</x:v>
      </x:c>
      <x:c r="N8" s="48" t="str">
        <x:v>Firm disclosed/derived outsourced supply; 1 GW demand and 0.7 GW option not additive</x:v>
      </x:c>
      <x:c r="O8" s="48" t="str">
        <x:v>S01,S04,S05,S12,S16-S19</x:v>
      </x:c>
      <x:c r="P8" s="382" t="n">
        <x:f>L8/K8</x:f>
        <x:v>1.0606710048426151</x:v>
      </x:c>
      <x:c r="Q8" s="383" t="n">
        <x:f>37.883</x:f>
        <x:v>37.883</x:v>
      </x:c>
      <x:c r="R8" s="383" t="n">
        <x:f>8.514</x:f>
        <x:v>8.514</x:v>
      </x:c>
      <x:c r="S8" s="383" t="n">
        <x:f>K8*Q8</x:f>
        <x:v>125.165432</x:v>
      </x:c>
      <x:c r="T8" s="383" t="n">
        <x:f>K8*R8</x:f>
        <x:v>28.130255999999996</x:v>
      </x:c>
      <x:c r="U8" s="383" t="n">
        <x:f>M8*Q8</x:f>
        <x:v>25.078546000000003</x:v>
      </x:c>
      <x:c r="V8" s="384" t="n">
        <x:f>Q8/P8</x:f>
        <x:v>35.71607013582989</x:v>
      </x:c>
      <x:c r="W8" s="385" t="n">
        <x:f>R8*1000/(P8*8760*71%)</x:f>
        <x:v>1.2905965329358489</x:v>
      </x:c>
      <x:c r="X8" s="386" t="n">
        <x:f>S8/Stock_Implications!D8</x:f>
        <x:v>0.033140831392865555</x:v>
      </x:c>
      <x:c r="Y8" s="386" t="n">
        <x:f>U8/Stock_Implications!D8</x:f>
        <x:v>0.006640202900144371</x:v>
      </x:c>
      <x:c r="Z8" s="351" t="str">
        <x:v>$29.0B/IT-GW GPU hardware; $9.70B/IT-GW-year service</x:v>
      </x:c>
      <x:c r="AA8" s="356" t="str">
        <x:v>Third-party GPU equipment + full service [S17]</x:v>
      </x:c>
    </x:row>
    <x:row r="9" ht="58" customHeight="1">
      <x:c r="A9" s="48" t="str">
        <x:v>Alphabet / Google</x:v>
      </x:c>
      <x:c r="B9" s="48" t="str">
        <x:v>GOOGL</x:v>
      </x:c>
      <x:c r="C9" s="84" t="n">
        <x:f>SUMIF(Sites_Current!$A$7:$A$61,A9,Sites_Current!$D$7:$D$61)/1000</x:f>
        <x:v>3.299</x:v>
      </x:c>
      <x:c r="D9" s="84" t="n">
        <x:f>SUMIF(Sites_Current!$A$7:$A$61,A9,Sites_Current!$E$7:$E$61)/1000</x:f>
        <x:v>4.605600000000001</x:v>
      </x:c>
      <x:c r="E9" s="50" t="n">
        <x:v>5.03782</x:v>
      </x:c>
      <x:c r="F9" s="50" t="n">
        <x:v>2.947</x:v>
      </x:c>
      <x:c r="G9" s="50"/>
      <x:c r="H9" s="50"/>
      <x:c r="I9" s="84" t="n">
        <x:f>IF(F9=0,0,F9*Normalization!$B$8/Normalization!$B$9)</x:f>
        <x:v>4.7152</x:v>
      </x:c>
      <x:c r="J9" s="84" t="n">
        <x:f>IF(F9=0,0,F9*Normalization!$B$8)</x:f>
        <x:v>5.894</x:v>
      </x:c>
      <x:c r="K9" s="74" t="n">
        <x:f>MAX(C9,G9,I9)</x:f>
        <x:v>4.7152</x:v>
      </x:c>
      <x:c r="L9" s="74" t="n">
        <x:f>MAX(D9,E9,H9)</x:f>
        <x:v>5.03782</x:v>
      </x:c>
      <x:c r="M9" s="50" t="n">
        <x:v>5</x:v>
      </x:c>
      <x:c r="N9" s="48" t="str">
        <x:v>5 GW TPU program from 2027; &gt;1 GW 2026 milestone may overlap</x:v>
      </x:c>
      <x:c r="O9" s="48" t="str">
        <x:v>S01,S04,S05,S20-S22</x:v>
      </x:c>
      <x:c r="P9" s="372" t="n">
        <x:f>L9/K9</x:f>
        <x:v>1.06842127587377</x:v>
      </x:c>
      <x:c r="Q9" s="373" t="n">
        <x:f>37.883</x:f>
        <x:v>37.883</x:v>
      </x:c>
      <x:c r="R9" s="373" t="n">
        <x:f>8.514</x:f>
        <x:v>8.514</x:v>
      </x:c>
      <x:c r="S9" s="373" t="n">
        <x:f>K9*Q9</x:f>
        <x:v>178.62592160000003</x:v>
      </x:c>
      <x:c r="T9" s="373" t="n">
        <x:f>K9*R9</x:f>
        <x:v>40.145212799999996</x:v>
      </x:c>
      <x:c r="U9" s="373" t="n">
        <x:f>M9*Q9</x:f>
        <x:v>189.41500000000002</x:v>
      </x:c>
      <x:c r="V9" s="374" t="n">
        <x:f>Q9/P9</x:f>
        <x:v>35.45698766529968</x:v>
      </x:c>
      <x:c r="W9" s="375" t="n">
        <x:f>R9*1000/(P9*8760*71%)</x:f>
        <x:v>1.2812346144230027</x:v>
      </x:c>
      <x:c r="X9" s="376" t="n">
        <x:f>S9/Stock_Implications!D9</x:f>
        <x:v>0.04303979280286817</x:v>
      </x:c>
      <x:c r="Y9" s="376" t="n">
        <x:f>U9/Stock_Implications!D9</x:f>
        <x:v>0.04563941381369631</x:v>
      </x:c>
      <x:c r="Z9" s="337" t="str">
        <x:v>$9–11B/IT-GW facility; $1.90B/IT-GW-year base lease</x:v>
      </x:c>
      <x:c r="AA9" s="342" t="str">
        <x:v>Google-backstopped third-party facility [S49]</x:v>
      </x:c>
    </x:row>
    <x:row r="10" ht="58" customHeight="1">
      <x:c r="A10" s="48" t="str">
        <x:v>Meta</x:v>
      </x:c>
      <x:c r="B10" s="48" t="str">
        <x:v>META</x:v>
      </x:c>
      <x:c r="C10" s="84" t="n">
        <x:f>SUMIF(Sites_Current!$A$7:$A$61,A10,Sites_Current!$D$7:$D$61)/1000</x:f>
        <x:v>2.382</x:v>
      </x:c>
      <x:c r="D10" s="84" t="n">
        <x:f>SUMIF(Sites_Current!$A$7:$A$61,A10,Sites_Current!$E$7:$E$61)/1000</x:f>
        <x:v>2.687</x:v>
      </x:c>
      <x:c r="E10" s="50" t="n">
        <x:v>2.423701</x:v>
      </x:c>
      <x:c r="F10" s="50" t="n">
        <x:v>1.408</x:v>
      </x:c>
      <x:c r="G10" s="50"/>
      <x:c r="H10" s="50"/>
      <x:c r="I10" s="84" t="n">
        <x:f>IF(F10=0,0,F10*Normalization!$B$8/Normalization!$B$9)</x:f>
        <x:v>2.2527999999999997</x:v>
      </x:c>
      <x:c r="J10" s="84" t="n">
        <x:f>IF(F10=0,0,F10*Normalization!$B$8)</x:f>
        <x:v>2.816</x:v>
      </x:c>
      <x:c r="K10" s="74" t="n">
        <x:f>MAX(C10,G10,I10)</x:f>
        <x:v>2.382</x:v>
      </x:c>
      <x:c r="L10" s="74" t="n">
        <x:f>MAX(D10,E10,H10)</x:f>
        <x:v>2.687</x:v>
      </x:c>
      <x:c r="M10" s="50" t="n">
        <x:v>5</x:v>
      </x:c>
      <x:c r="N10" s="48" t="str">
        <x:v>Hyperion 5 GW target; internal project target</x:v>
      </x:c>
      <x:c r="O10" s="48" t="str">
        <x:v>S01,S04,S05,S27-S29</x:v>
      </x:c>
      <x:c r="P10" s="382" t="n">
        <x:f>L10/K10</x:f>
        <x:v>1.1280436607892526</x:v>
      </x:c>
      <x:c r="Q10" s="383" t="n">
        <x:f>37.883</x:f>
        <x:v>37.883</x:v>
      </x:c>
      <x:c r="R10" s="383" t="n">
        <x:f>8.514</x:f>
        <x:v>8.514</x:v>
      </x:c>
      <x:c r="S10" s="383" t="n">
        <x:f>K10*Q10</x:f>
        <x:v>90.237306</x:v>
      </x:c>
      <x:c r="T10" s="383" t="n">
        <x:f>K10*R10</x:f>
        <x:v>20.280348</x:v>
      </x:c>
      <x:c r="U10" s="383" t="n">
        <x:f>M10*Q10</x:f>
        <x:v>189.41500000000002</x:v>
      </x:c>
      <x:c r="V10" s="384" t="n">
        <x:f>Q10/P10</x:f>
        <x:v>33.58291998511352</x:v>
      </x:c>
      <x:c r="W10" s="385" t="n">
        <x:f>R10*1000/(P10*8760*71%)</x:f>
        <x:v>1.2135153709189697</x:v>
      </x:c>
      <x:c r="X10" s="386" t="n">
        <x:f>S10/Stock_Implications!D10</x:f>
        <x:v>0.061443418441272844</x:v>
      </x:c>
      <x:c r="Y10" s="386" t="n">
        <x:f>U10/Stock_Implications!D10</x:f>
        <x:v>0.12897442997748287</x:v>
      </x:c>
      <x:c r="Z10" s="351" t="str">
        <x:v>$5.4B/IT-GW JV facilities; &gt;$10B/IT-GW broad program</x:v>
      </x:c>
      <x:c r="AA10" s="356" t="str">
        <x:v>Facility JV + broader regional investment [S28,S29]</x:v>
      </x:c>
    </x:row>
    <x:row r="11" ht="58" customHeight="1">
      <x:c r="A11" s="48" t="str">
        <x:v>Oracle</x:v>
      </x:c>
      <x:c r="B11" s="48" t="str">
        <x:v>ORCL</x:v>
      </x:c>
      <x:c r="C11" s="84" t="n">
        <x:f>SUMIF(Sites_Current!$A$7:$A$61,A11,Sites_Current!$D$7:$D$61)/1000</x:f>
        <x:v>0.493</x:v>
      </x:c>
      <x:c r="D11" s="84" t="n">
        <x:f>SUMIF(Sites_Current!$A$7:$A$61,A11,Sites_Current!$E$7:$E$61)/1000</x:f>
        <x:v>0.5937</x:v>
      </x:c>
      <x:c r="E11" s="50"/>
      <x:c r="F11" s="50"/>
      <x:c r="G11" s="50"/>
      <x:c r="H11" s="50"/>
      <x:c r="I11" s="84" t="n">
        <x:f>IF(F11=0,0,F11*Normalization!$B$8/Normalization!$B$9)</x:f>
        <x:v>0</x:v>
      </x:c>
      <x:c r="J11" s="84" t="n">
        <x:f>IF(F11=0,0,F11*Normalization!$B$8)</x:f>
        <x:v>0</x:v>
      </x:c>
      <x:c r="K11" s="74" t="n">
        <x:f>MAX(C11,G11,I11)</x:f>
        <x:v>0.493</x:v>
      </x:c>
      <x:c r="L11" s="74" t="n">
        <x:f>MAX(D11,E11,H11)</x:f>
        <x:v>0.5937</x:v>
      </x:c>
      <x:c r="M11" s="50" t="n">
        <x:v>4.5</x:v>
      </x:c>
      <x:c r="N11" s="48" t="str">
        <x:v>Additional Oracle/OpenAI capacity; &gt;5 GW including Abilene under development</x:v>
      </x:c>
      <x:c r="O11" s="48" t="str">
        <x:v>S01,S31-S34</x:v>
      </x:c>
      <x:c r="P11" s="372" t="n">
        <x:f>L11/K11</x:f>
        <x:v>1.2042596348884382</x:v>
      </x:c>
      <x:c r="Q11" s="373" t="n">
        <x:f>37.883</x:f>
        <x:v>37.883</x:v>
      </x:c>
      <x:c r="R11" s="373" t="n">
        <x:f>8.514</x:f>
        <x:v>8.514</x:v>
      </x:c>
      <x:c r="S11" s="373" t="n">
        <x:f>K11*Q11</x:f>
        <x:v>18.676319</x:v>
      </x:c>
      <x:c r="T11" s="373" t="n">
        <x:f>K11*R11</x:f>
        <x:v>4.197401999999999</x:v>
      </x:c>
      <x:c r="U11" s="373" t="n">
        <x:f>M11*Q11</x:f>
        <x:v>170.4735</x:v>
      </x:c>
      <x:c r="V11" s="374" t="n">
        <x:f>Q11/P11</x:f>
        <x:v>31.457502105440458</x:v>
      </x:c>
      <x:c r="W11" s="375" t="n">
        <x:f>R11*1000/(P11*8760*71%)</x:f>
        <x:v>1.1367136137235687</x:v>
      </x:c>
      <x:c r="X11" s="376" t="n">
        <x:f>S11/Stock_Implications!D11</x:f>
        <x:v>0.043009462749227706</x:v>
      </x:c>
      <x:c r="Y11" s="376" t="n">
        <x:f>U11/Stock_Implications!D11</x:f>
        <x:v>0.39258130298483707</x:v>
      </x:c>
      <x:c r="Z11" s="337" t="str">
        <x:v>~$10.91B/IT-GW-year linked service commitment</x:v>
      </x:c>
      <x:c r="AA11" s="342" t="str">
        <x:v>Customer AI service [S33,S34]</x:v>
      </x:c>
    </x:row>
    <x:row r="12" ht="58" customHeight="1">
      <x:c r="A12" s="48" t="str">
        <x:v>CoreWeave</x:v>
      </x:c>
      <x:c r="B12" s="48" t="str">
        <x:v>CRWV</x:v>
      </x:c>
      <x:c r="C12" s="84" t="n">
        <x:f>SUMIF(Sites_Current!$A$7:$A$61,A12,Sites_Current!$D$7:$D$61)/1000</x:f>
        <x:v>0.679</x:v>
      </x:c>
      <x:c r="D12" s="84" t="n">
        <x:f>SUMIF(Sites_Current!$A$7:$A$61,A12,Sites_Current!$E$7:$E$61)/1000</x:f>
        <x:v>0.7559999999999999</x:v>
      </x:c>
      <x:c r="E12" s="50"/>
      <x:c r="F12" s="50"/>
      <x:c r="G12" s="50" t="n">
        <x:v>1.5</x:v>
      </x:c>
      <x:c r="H12" s="50" t="n">
        <x:v>1.67</x:v>
      </x:c>
      <x:c r="I12" s="84" t="n">
        <x:f>IF(F12=0,0,F12*Normalization!$B$8/Normalization!$B$9)</x:f>
        <x:v>0</x:v>
      </x:c>
      <x:c r="J12" s="84" t="n">
        <x:f>IF(F12=0,0,F12*Normalization!$B$8)</x:f>
        <x:v>0</x:v>
      </x:c>
      <x:c r="K12" s="74" t="n">
        <x:f>MAX(C12,G12,I12)</x:f>
        <x:v>1.5</x:v>
      </x:c>
      <x:c r="L12" s="74" t="n">
        <x:f>MAX(D12,E12,H12)</x:f>
        <x:v>1.67</x:v>
      </x:c>
      <x:c r="M12" s="50" t="n">
        <x:v>2.2</x:v>
      </x:c>
      <x:c r="N12" s="48" t="str">
        <x:v>3.7 GW contracted less 1.5 GW active</x:v>
      </x:c>
      <x:c r="O12" s="48" t="str">
        <x:v>S01,S37,S38; Model</x:v>
      </x:c>
      <x:c r="P12" s="382" t="n">
        <x:f>L12/K12</x:f>
        <x:v>1.1133333333333333</x:v>
      </x:c>
      <x:c r="Q12" s="383" t="n">
        <x:f>37.883</x:f>
        <x:v>37.883</x:v>
      </x:c>
      <x:c r="R12" s="383" t="n">
        <x:f>8.514</x:f>
        <x:v>8.514</x:v>
      </x:c>
      <x:c r="S12" s="383" t="n">
        <x:f>K12*Q12</x:f>
        <x:v>56.8245</x:v>
      </x:c>
      <x:c r="T12" s="383" t="n">
        <x:f>K12*R12</x:f>
        <x:v>12.770999999999999</x:v>
      </x:c>
      <x:c r="U12" s="383" t="n">
        <x:f>M12*Q12</x:f>
        <x:v>83.34260000000002</x:v>
      </x:c>
      <x:c r="V12" s="384" t="n">
        <x:f>Q12/P12</x:f>
        <x:v>34.02664670658683</x:v>
      </x:c>
      <x:c r="W12" s="385" t="n">
        <x:f>R12*1000/(P12*8760*71%)</x:f>
        <x:v>1.2295493905108943</x:v>
      </x:c>
      <x:c r="X12" s="386" t="n">
        <x:f>S12/Stock_Implications!D12</x:f>
        <x:v>1.2148635182628786</x:v>
      </x:c>
      <x:c r="Y12" s="386" t="n">
        <x:f>U12/Stock_Implications!D12</x:f>
        <x:v>1.7817998267855557</x:v>
      </x:c>
      <x:c r="Z12" s="351" t="str">
        <x:v>$1.44–2.34B/IT-GW-year powered-shell leases</x:v>
      </x:c>
      <x:c r="AA12" s="356" t="str">
        <x:v>Third-party powered-shell / facility lease [S37,S39-S44,S46]</x:v>
      </x:c>
    </x:row>
    <x:row r="13" ht="58" customHeight="1">
      <x:c r="A13" s="54" t="str">
        <x:v>Tesla</x:v>
      </x:c>
      <x:c r="B13" s="54" t="str">
        <x:v>TSLA</x:v>
      </x:c>
      <x:c r="C13" s="85" t="n">
        <x:f>SUMIF(Sites_Current!$A$7:$A$61,A13,Sites_Current!$D$7:$D$61)/1000</x:f>
        <x:v>0</x:v>
      </x:c>
      <x:c r="D13" s="85" t="n">
        <x:f>SUMIF(Sites_Current!$A$7:$A$61,A13,Sites_Current!$E$7:$E$61)/1000</x:f>
        <x:v>0</x:v>
      </x:c>
      <x:c r="E13" s="56"/>
      <x:c r="F13" s="56"/>
      <x:c r="G13" s="56" t="n">
        <x:v>0.205</x:v>
      </x:c>
      <x:c r="H13" s="56" t="n">
        <x:v>0.23</x:v>
      </x:c>
      <x:c r="I13" s="85" t="n">
        <x:f>IF(F13=0,0,F13*Normalization!$B$8/Normalization!$B$9)</x:f>
        <x:v>0</x:v>
      </x:c>
      <x:c r="J13" s="85" t="n">
        <x:f>IF(F13=0,0,F13*Normalization!$B$8)</x:f>
        <x:v>0</x:v>
      </x:c>
      <x:c r="K13" s="51" t="n">
        <x:f>MAX(C13,G13,I13)</x:f>
        <x:v>0.205</x:v>
      </x:c>
      <x:c r="L13" s="51" t="n">
        <x:f>MAX(D13,E13,H13)</x:f>
        <x:v>0.23</x:v>
      </x:c>
      <x:c r="M13" s="56" t="n">
        <x:v>0.195</x:v>
      </x:c>
      <x:c r="N13" s="54" t="str">
        <x:v>Visual target to approximately 400 MW by Dec. 2026; not signed cloud capacity</x:v>
      </x:c>
      <x:c r="O13" s="54" t="str">
        <x:v>S47; Model</x:v>
      </x:c>
      <x:c r="P13" s="377" t="n">
        <x:f>L13/K13</x:f>
        <x:v>1.1219512195121952</x:v>
      </x:c>
      <x:c r="Q13" s="378" t="n">
        <x:f>37.883</x:f>
        <x:v>37.883</x:v>
      </x:c>
      <x:c r="R13" s="378" t="n">
        <x:f>8.514</x:f>
        <x:v>8.514</x:v>
      </x:c>
      <x:c r="S13" s="378" t="n">
        <x:f>K13*Q13</x:f>
        <x:v>7.766015</x:v>
      </x:c>
      <x:c r="T13" s="378" t="n">
        <x:f>K13*R13</x:f>
        <x:v>1.7453699999999999</x:v>
      </x:c>
      <x:c r="U13" s="378" t="n">
        <x:f>M13*Q13</x:f>
        <x:v>7.387185000000001</x:v>
      </x:c>
      <x:c r="V13" s="379" t="n">
        <x:f>Q13/P13</x:f>
        <x:v>33.76528260869565</x:v>
      </x:c>
      <x:c r="W13" s="380" t="n">
        <x:f>R13*1000/(P13*8760*71%)</x:f>
        <x:v>1.2201050256272596</x:v>
      </x:c>
      <x:c r="X13" s="381" t="n">
        <x:f>S13/Stock_Implications!D13</x:f>
        <x:v>0.005962194722170401</x:v>
      </x:c>
      <x:c r="Y13" s="381" t="n">
        <x:f>U13/Stock_Implications!D13</x:f>
        <x:v>0.00567135595523526</x:v>
      </x:c>
      <x:c r="Z13" s="344" t="str">
        <x:v>Not disclosed</x:v>
      </x:c>
      <x:c r="AA13" s="349" t="str">
        <x:v>No defensible compute-only project ratio [S47]</x:v>
      </x:c>
    </x:row>
  </x:sheetData>
  <x:mergeCells>
    <x:mergeCell ref="A1:AA1"/>
    <x:mergeCell ref="A3:AA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1" hidden="0" customWidth="1"/>
    <x:col min="4" max="4" width="24" hidden="0" customWidth="1"/>
    <x:col min="5" max="5" width="20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32" hidden="0" customWidth="1"/>
    <x:col min="12" max="12" width="30" hidden="0" customWidth="1"/>
    <x:col min="13" max="13" width="49" hidden="0" customWidth="1"/>
    <x:col min="14" max="14" width="16" hidden="0" customWidth="1"/>
  </x:cols>
  <x:sheetData>
    <x:row r="1">
      <x:c r="A1" s="5" t="str">
        <x:v>Signed, contracted and target capacity: unlike categories must not be added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3" t="str">
        <x:v>Demand commitments, outsourced supply, contracted power and internal project targets are separated. Capacity/value are often stated as “up to” or “more than”; ratios are indicators, not tariffs.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>
      <x:c r="A6" s="28" t="str">
        <x:v>Vendor</x:v>
      </x:c>
      <x:c r="B6" s="28" t="str">
        <x:v>Counterparty</x:v>
      </x:c>
      <x:c r="C6" s="28" t="str">
        <x:v>Capacity GW</x:v>
      </x:c>
      <x:c r="D6" s="28" t="str">
        <x:v>Capacity type</x:v>
      </x:c>
      <x:c r="E6" s="28" t="str">
        <x:v>Status</x:v>
      </x:c>
      <x:c r="F6" s="28" t="str">
        <x:v>Contract value ($B)</x:v>
      </x:c>
      <x:c r="G6" s="28" t="str">
        <x:v>Term years</x:v>
      </x:c>
      <x:c r="H6" s="28" t="str">
        <x:v>Nominal value / GW ($B)</x:v>
      </x:c>
      <x:c r="I6" s="28" t="str">
        <x:v>Annual value / GW ($B)</x:v>
      </x:c>
      <x:c r="J6" s="28" t="str">
        <x:v>$/kW-month</x:v>
      </x:c>
      <x:c r="K6" s="28" t="str">
        <x:v>Price basis</x:v>
      </x:c>
      <x:c r="L6" s="28" t="str">
        <x:v>Near-term milestone</x:v>
      </x:c>
      <x:c r="M6" s="28" t="str">
        <x:v>Overlap / counting note</x:v>
      </x:c>
      <x:c r="N6" s="28" t="str">
        <x:v>Source IDs</x:v>
      </x:c>
    </x:row>
    <x:row r="7">
      <x:c r="A7" s="48" t="str">
        <x:v>Amazon / AWS</x:v>
      </x:c>
      <x:c r="B7" s="48" t="str">
        <x:v>Anthropic</x:v>
      </x:c>
      <x:c r="C7" s="50" t="n">
        <x:v>5</x:v>
      </x:c>
      <x:c r="D7" s="48" t="str">
        <x:v>Up to new capacity</x:v>
      </x:c>
      <x:c r="E7" s="48" t="str">
        <x:v>Signed / announced</x:v>
      </x:c>
      <x:c r="F7" s="70" t="n">
        <x:v>100</x:v>
      </x:c>
      <x:c r="G7" s="66" t="n">
        <x:v>10</x:v>
      </x:c>
      <x:c r="H7" s="88" t="n">
        <x:f>IF(OR(C7=0,F7=0),0,F7/C7)</x:f>
        <x:v>20</x:v>
      </x:c>
      <x:c r="I7" s="88" t="n">
        <x:f>IF(OR(C7=0,F7=0,G7=0),0,F7/C7/G7)</x:f>
        <x:v>2</x:v>
      </x:c>
      <x:c r="J7" s="92" t="n">
        <x:f>IF(OR(C7=0,F7=0,G7=0),0,F7*1000000000/(C7*1000000*G7*12))</x:f>
        <x:v>166.66666666666666</x:v>
      </x:c>
      <x:c r="K7" s="48" t="str">
        <x:v>Customer service commitment; minimum stated as &gt;$100B</x:v>
      </x:c>
      <x:c r="L7" s="48" t="str">
        <x:v>Nearly 1 GW by end-2026</x:v>
      </x:c>
      <x:c r="M7" s="48" t="str">
        <x:v>Upper bound; named site targets are not additive without mapping.</x:v>
      </x:c>
      <x:c r="N7" s="48" t="str">
        <x:v>S24</x:v>
      </x:c>
    </x:row>
    <x:row r="8">
      <x:c r="A8" s="48" t="str">
        <x:v>Alphabet / Google</x:v>
      </x:c>
      <x:c r="B8" s="48" t="str">
        <x:v>Anthropic</x:v>
      </x:c>
      <x:c r="C8" s="50" t="n">
        <x:v>1</x:v>
      </x:c>
      <x:c r="D8" s="48" t="str">
        <x:v>2026 milestone (&gt;1 GW)</x:v>
      </x:c>
      <x:c r="E8" s="48" t="str">
        <x:v>Signed / announced</x:v>
      </x:c>
      <x:c r="F8" s="70"/>
      <x:c r="G8" s="66"/>
      <x:c r="H8" s="88" t="n">
        <x:f>IF(OR(C8=0,F8=0),0,F8/C8)</x:f>
        <x:v>0</x:v>
      </x:c>
      <x:c r="I8" s="88" t="n">
        <x:f>IF(OR(C8=0,F8=0,G8=0),0,F8/C8/G8)</x:f>
        <x:v>0</x:v>
      </x:c>
      <x:c r="J8" s="92" t="n">
        <x:f>IF(OR(C8=0,F8=0,G8=0),0,F8*1000000000/(C8*1000000*G8*12))</x:f>
        <x:v>0</x:v>
      </x:c>
      <x:c r="K8" s="48" t="str">
        <x:v>Tens of billions; exact amount undisclosed</x:v>
      </x:c>
      <x:c r="L8" s="48" t="str">
        <x:v>Up to 1M TPUs</x:v>
      </x:c>
      <x:c r="M8" s="48" t="str">
        <x:v>May be part of 5 GW program; do not sum.</x:v>
      </x:c>
      <x:c r="N8" s="48" t="str">
        <x:v>S21</x:v>
      </x:c>
    </x:row>
    <x:row r="9">
      <x:c r="A9" s="48" t="str">
        <x:v>Alphabet / Google</x:v>
      </x:c>
      <x:c r="B9" s="48" t="str">
        <x:v>Anthropic / Broadcom program</x:v>
      </x:c>
      <x:c r="C9" s="50" t="n">
        <x:v>5</x:v>
      </x:c>
      <x:c r="D9" s="48" t="str">
        <x:v>Program from 2027</x:v>
      </x:c>
      <x:c r="E9" s="48" t="str">
        <x:v>Signed / announced</x:v>
      </x:c>
      <x:c r="F9" s="70"/>
      <x:c r="G9" s="66"/>
      <x:c r="H9" s="88" t="n">
        <x:f>IF(OR(C9=0,F9=0),0,F9/C9)</x:f>
        <x:v>0</x:v>
      </x:c>
      <x:c r="I9" s="88" t="n">
        <x:f>IF(OR(C9=0,F9=0,G9=0),0,F9/C9/G9)</x:f>
        <x:v>0</x:v>
      </x:c>
      <x:c r="J9" s="92" t="n">
        <x:f>IF(OR(C9=0,F9=0,G9=0),0,F9*1000000000/(C9*1000000*G9*12))</x:f>
        <x:v>0</x:v>
      </x:c>
      <x:c r="K9" s="48" t="str">
        <x:v>Price undisclosed</x:v>
      </x:c>
      <x:c r="L9" s="48" t="str">
        <x:v>Starts 2027</x:v>
      </x:c>
      <x:c r="M9" s="48" t="str">
        <x:v>Overlap with 2026 milestone undisclosed.</x:v>
      </x:c>
      <x:c r="N9" s="48" t="str">
        <x:v>S22</x:v>
      </x:c>
    </x:row>
    <x:row r="10">
      <x:c r="A10" s="48" t="str">
        <x:v>Microsoft</x:v>
      </x:c>
      <x:c r="B10" s="48" t="str">
        <x:v>Anthropic</x:v>
      </x:c>
      <x:c r="C10" s="50" t="n">
        <x:v>1</x:v>
      </x:c>
      <x:c r="D10" s="48" t="str">
        <x:v>Additional Azure capacity (up to)</x:v>
      </x:c>
      <x:c r="E10" s="48" t="str">
        <x:v>Demand commitment</x:v>
      </x:c>
      <x:c r="F10" s="70" t="n">
        <x:v>30</x:v>
      </x:c>
      <x:c r="G10" s="66"/>
      <x:c r="H10" s="88" t="n">
        <x:f>IF(OR(C10=0,F10=0),0,F10/C10)</x:f>
        <x:v>30</x:v>
      </x:c>
      <x:c r="I10" s="88" t="n">
        <x:f>IF(OR(C10=0,F10=0,G10=0),0,F10/C10/G10)</x:f>
        <x:v>0</x:v>
      </x:c>
      <x:c r="J10" s="92" t="n">
        <x:f>IF(OR(C10=0,F10=0,G10=0),0,F10*1000000000/(C10*1000000*G10*12))</x:f>
        <x:v>0</x:v>
      </x:c>
      <x:c r="K10" s="48" t="str">
        <x:v>Azure purchase commitment; term undisclosed</x:v>
      </x:c>
      <x:c r="L10" s="48" t="str">
        <x:v>Grace Blackwell / future Rubin</x:v>
      </x:c>
      <x:c r="M10" s="48" t="str">
        <x:v>May be served by outsourced suppliers below; do not add.</x:v>
      </x:c>
      <x:c r="N10" s="48" t="str">
        <x:v>S19</x:v>
      </x:c>
    </x:row>
    <x:row r="11">
      <x:c r="A11" s="48" t="str">
        <x:v>Microsoft</x:v>
      </x:c>
      <x:c r="B11" s="48" t="str">
        <x:v>IREN</x:v>
      </x:c>
      <x:c r="C11" s="50" t="n">
        <x:v>0.2</x:v>
      </x:c>
      <x:c r="D11" s="48" t="str">
        <x:v>IT power</x:v>
      </x:c>
      <x:c r="E11" s="48" t="str">
        <x:v>Firm supply contract</x:v>
      </x:c>
      <x:c r="F11" s="70" t="n">
        <x:v>9.7</x:v>
      </x:c>
      <x:c r="G11" s="66" t="n">
        <x:v>5</x:v>
      </x:c>
      <x:c r="H11" s="88" t="n">
        <x:f>IF(OR(C11=0,F11=0),0,F11/C11)</x:f>
        <x:v>48.49999999999999</x:v>
      </x:c>
      <x:c r="I11" s="88" t="n">
        <x:f>IF(OR(C11=0,F11=0,G11=0),0,F11/C11/G11)</x:f>
        <x:v>9.7</x:v>
      </x:c>
      <x:c r="J11" s="92" t="n">
        <x:f>IF(OR(C11=0,F11=0,G11=0),0,F11*1000000000/(C11*1000000*G11*12))</x:f>
        <x:v>808.3333333333334</x:v>
      </x:c>
      <x:c r="K11" s="48" t="str">
        <x:v>Full GPU service contract</x:v>
      </x:c>
      <x:c r="L11" s="48" t="str">
        <x:v>Deploy during 2026</x:v>
      </x:c>
      <x:c r="M11" s="48" t="str">
        <x:v>Specific outsourced capacity; $5.8B hardware capex separately.</x:v>
      </x:c>
      <x:c r="N11" s="48" t="str">
        <x:v>S17</x:v>
      </x:c>
    </x:row>
    <x:row r="12">
      <x:c r="A12" s="48" t="str">
        <x:v>Microsoft</x:v>
      </x:c>
      <x:c r="B12" s="48" t="str">
        <x:v>Nscale</x:v>
      </x:c>
      <x:c r="C12" s="50" t="n">
        <x:v>0.462</x:v>
      </x:c>
      <x:c r="D12" s="48" t="str">
        <x:v>Derived IT power for approximately 200k GB300</x:v>
      </x:c>
      <x:c r="E12" s="48" t="str">
        <x:v>Signed supply; partly modeled</x:v>
      </x:c>
      <x:c r="F12" s="70"/>
      <x:c r="G12" s="66"/>
      <x:c r="H12" s="88" t="n">
        <x:f>IF(OR(C12=0,F12=0),0,F12/C12)</x:f>
        <x:v>0</x:v>
      </x:c>
      <x:c r="I12" s="88" t="n">
        <x:f>IF(OR(C12=0,F12=0,G12=0),0,F12/C12/G12)</x:f>
        <x:v>0</x:v>
      </x:c>
      <x:c r="J12" s="92" t="n">
        <x:f>IF(OR(C12=0,F12=0,G12=0),0,F12*1000000000/(C12*1000000*G12*12))</x:f>
        <x:v>0</x:v>
      </x:c>
      <x:c r="K12" s="48" t="str">
        <x:v>Value undisclosed</x:v>
      </x:c>
      <x:c r="L12" s="48" t="str">
        <x:v>Texas 240 MW/104k; other sites total approximately 200k</x:v>
      </x:c>
      <x:c r="M12" s="48" t="str">
        <x:v>Applies Texas MW/GPU ratio; 0.7 GW option excluded.</x:v>
      </x:c>
      <x:c r="N12" s="48" t="str">
        <x:v>S16</x:v>
      </x:c>
    </x:row>
    <x:row r="13">
      <x:c r="A13" s="48" t="str">
        <x:v>Microsoft</x:v>
      </x:c>
      <x:c r="B13" s="48" t="str">
        <x:v>Nebius</x:v>
      </x:c>
      <x:c r="C13" s="50"/>
      <x:c r="D13" s="48" t="str">
        <x:v>GPU services</x:v>
      </x:c>
      <x:c r="E13" s="48" t="str">
        <x:v>Firm supply contract</x:v>
      </x:c>
      <x:c r="F13" s="70" t="n">
        <x:v>17.4</x:v>
      </x:c>
      <x:c r="G13" s="66" t="n">
        <x:v>5</x:v>
      </x:c>
      <x:c r="H13" s="88" t="n">
        <x:f>IF(OR(C13=0,F13=0),0,F13/C13)</x:f>
        <x:v>0</x:v>
      </x:c>
      <x:c r="I13" s="88" t="n">
        <x:f>IF(OR(C13=0,F13=0,G13=0),0,F13/C13/G13)</x:f>
        <x:v>0</x:v>
      </x:c>
      <x:c r="J13" s="92" t="n">
        <x:f>IF(OR(C13=0,F13=0,G13=0),0,F13*1000000000/(C13*1000000*G13*12))</x:f>
        <x:v>0</x:v>
      </x:c>
      <x:c r="K13" s="48" t="str">
        <x:v>Capacity undisclosed; option value $19.4B</x:v>
      </x:c>
      <x:c r="L13" s="48" t="str">
        <x:v>Through 2031</x:v>
      </x:c>
      <x:c r="M13" s="48" t="str">
        <x:v>No defensible GW derivation.</x:v>
      </x:c>
      <x:c r="N13" s="48" t="str">
        <x:v>S18</x:v>
      </x:c>
    </x:row>
    <x:row r="14">
      <x:c r="A14" s="48" t="str">
        <x:v>Oracle</x:v>
      </x:c>
      <x:c r="B14" s="48" t="str">
        <x:v>OpenAI</x:v>
      </x:c>
      <x:c r="C14" s="50" t="n">
        <x:v>4.5</x:v>
      </x:c>
      <x:c r="D14" s="48" t="str">
        <x:v>Additional capacity</x:v>
      </x:c>
      <x:c r="E14" s="48" t="str">
        <x:v>Signed / announced</x:v>
      </x:c>
      <x:c r="F14" s="70" t="n">
        <x:v>300</x:v>
      </x:c>
      <x:c r="G14" s="66" t="n">
        <x:v>5</x:v>
      </x:c>
      <x:c r="H14" s="88" t="n">
        <x:f>IF(OR(C14=0,F14=0),0,F14/C14)</x:f>
        <x:v>66.66666666666667</x:v>
      </x:c>
      <x:c r="I14" s="88" t="n">
        <x:f>IF(OR(C14=0,F14=0,G14=0),0,F14/C14/G14)</x:f>
        <x:v>13.333333333333334</x:v>
      </x:c>
      <x:c r="J14" s="92" t="n">
        <x:f>IF(OR(C14=0,F14=0,G14=0),0,F14*1000000000/(C14*1000000*G14*12))</x:f>
        <x:v>1111.111111111111</x:v>
      </x:c>
      <x:c r="K14" s="48" t="str">
        <x:v>Partnership &gt;$300B; &gt;5.5 GW program referenced separately</x:v>
      </x:c>
      <x:c r="L14" s="48" t="str">
        <x:v>&gt;5 GW including Abilene under development</x:v>
      </x:c>
      <x:c r="M14" s="48" t="str">
        <x:v>Use 4.5 GW incremental; 5.5 GW only for a rough cross-announcement ratio.</x:v>
      </x:c>
      <x:c r="N14" s="48" t="str">
        <x:v>S33,S34</x:v>
      </x:c>
    </x:row>
    <x:row r="15">
      <x:c r="A15" s="48" t="str">
        <x:v>CoreWeave</x:v>
      </x:c>
      <x:c r="B15" s="48" t="str">
        <x:v>Multiple customers</x:v>
      </x:c>
      <x:c r="C15" s="50" t="n">
        <x:v>3.7</x:v>
      </x:c>
      <x:c r="D15" s="48" t="str">
        <x:v>Contracted power</x:v>
      </x:c>
      <x:c r="E15" s="48" t="str">
        <x:v>Company disclosed</x:v>
      </x:c>
      <x:c r="F15" s="70" t="n">
        <x:v>104</x:v>
      </x:c>
      <x:c r="G15" s="66"/>
      <x:c r="H15" s="88" t="n">
        <x:f>IF(OR(C15=0,F15=0),0,F15/C15)</x:f>
        <x:v>28.108108108108105</x:v>
      </x:c>
      <x:c r="I15" s="88" t="n">
        <x:f>IF(OR(C15=0,F15=0,G15=0),0,F15/C15/G15)</x:f>
        <x:v>0</x:v>
      </x:c>
      <x:c r="J15" s="92" t="n">
        <x:f>IF(OR(C15=0,F15=0,G15=0),0,F15*1000000000/(C15*1000000*G15*12))</x:f>
        <x:v>0</x:v>
      </x:c>
      <x:c r="K15" s="48" t="str">
        <x:v>Backlog, not a unit-price contract</x:v>
      </x:c>
      <x:c r="L15" s="48" t="str">
        <x:v>1.5 GW active; 2.2 GW incremental</x:v>
      </x:c>
      <x:c r="M15" s="48" t="str">
        <x:v>Backlog duration/service mix vary.</x:v>
      </x:c>
      <x:c r="N15" s="48" t="str">
        <x:v>S38</x:v>
      </x:c>
    </x:row>
    <x:row r="16">
      <x:c r="A16" s="48" t="str">
        <x:v>Meta</x:v>
      </x:c>
      <x:c r="B16" s="48" t="str">
        <x:v>Internal demand</x:v>
      </x:c>
      <x:c r="C16" s="50" t="n">
        <x:v>5</x:v>
      </x:c>
      <x:c r="D16" s="48" t="str">
        <x:v>Hyperion target</x:v>
      </x:c>
      <x:c r="E16" s="48" t="str">
        <x:v>Project target</x:v>
      </x:c>
      <x:c r="F16" s="70" t="n">
        <x:v>50</x:v>
      </x:c>
      <x:c r="G16" s="66"/>
      <x:c r="H16" s="88" t="n">
        <x:f>IF(OR(C16=0,F16=0),0,F16/C16)</x:f>
        <x:v>10</x:v>
      </x:c>
      <x:c r="I16" s="88" t="n">
        <x:f>IF(OR(C16=0,F16=0,G16=0),0,F16/C16/G16)</x:f>
        <x:v>0</x:v>
      </x:c>
      <x:c r="J16" s="92" t="n">
        <x:f>IF(OR(C16=0,F16=0,G16=0),0,F16*1000000000/(C16*1000000*G16*12))</x:f>
        <x:v>0</x:v>
      </x:c>
      <x:c r="K16" s="48" t="str">
        <x:v>Regional investment &gt;$50B</x:v>
      </x:c>
      <x:c r="L16" s="48" t="str">
        <x:v>Multi-stage campus</x:v>
      </x:c>
      <x:c r="M16" s="48" t="str">
        <x:v>Not a customer contract; capacity/investment scopes may differ.</x:v>
      </x:c>
      <x:c r="N16" s="48" t="str">
        <x:v>S28,S29</x:v>
      </x:c>
    </x:row>
    <x:row r="17">
      <x:c r="A17" s="54" t="str">
        <x:v>Tesla</x:v>
      </x:c>
      <x:c r="B17" s="54" t="str">
        <x:v>Internal AI</x:v>
      </x:c>
      <x:c r="C17" s="56" t="n">
        <x:v>0.4</x:v>
      </x:c>
      <x:c r="D17" s="54" t="str">
        <x:v>Visual target</x:v>
      </x:c>
      <x:c r="E17" s="54" t="str">
        <x:v>Company roadmap estimate</x:v>
      </x:c>
      <x:c r="F17" s="71"/>
      <x:c r="G17" s="67"/>
      <x:c r="H17" s="89" t="n">
        <x:f>IF(OR(C17=0,F17=0),0,F17/C17)</x:f>
        <x:v>0</x:v>
      </x:c>
      <x:c r="I17" s="89" t="n">
        <x:f>IF(OR(C17=0,F17=0,G17=0),0,F17/C17/G17)</x:f>
        <x:v>0</x:v>
      </x:c>
      <x:c r="J17" s="93" t="n">
        <x:f>IF(OR(C17=0,F17=0,G17=0),0,F17*1000000000/(C17*1000000*G17*12))</x:f>
        <x:v>0</x:v>
      </x:c>
      <x:c r="K17" s="54" t="str">
        <x:v>No project value disclosed</x:v>
      </x:c>
      <x:c r="L17" s="54" t="str">
        <x:v>Approximately Dec. 2026</x:v>
      </x:c>
      <x:c r="M17" s="54" t="str">
        <x:v>Visual estimate; current direct cluster floor &gt;205 MW.</x:v>
      </x:c>
      <x:c r="N17" s="54" t="str">
        <x:v>S47</x:v>
      </x:c>
    </x:row>
  </x:sheetData>
  <x:mergeCells>
    <x:mergeCell ref="A1:N2"/>
    <x:mergeCell ref="A3:N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8" hidden="0" customWidth="1"/>
    <x:col min="8" max="8" width="18" hidden="0" customWidth="1"/>
    <x:col min="9" max="9" width="19" hidden="0" customWidth="1"/>
    <x:col min="10" max="10" width="18" hidden="0" customWidth="1"/>
    <x:col min="11" max="11" width="12" hidden="0" customWidth="1"/>
    <x:col min="12" max="12" width="16" hidden="0" customWidth="1"/>
    <x:col min="13" max="13" width="68" hidden="0" customWidth="1"/>
    <x:col min="14" max="14" width="17" hidden="0" customWidth="1"/>
  </x:cols>
  <x:sheetData>
    <x:row r="1">
      <x:c r="A1" s="5" t="str">
        <x:v>Footnote archaeology: capital intensity and off-balance-sheet obligations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3" t="str">
        <x:v>Capex definitions differ. Purchase obligations include non-AI items. Meta post-period uncommenced leases likely overlap contractual commitments and must not be summed. S12,S20,S23,S27,S31,S37,S47.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>
      <x:c r="A6" s="28" t="str">
        <x:v>Company</x:v>
      </x:c>
      <x:c r="B6" s="28" t="str">
        <x:v>Period</x:v>
      </x:c>
      <x:c r="C6" s="28" t="str">
        <x:v>Capex ($B)</x:v>
      </x:c>
      <x:c r="D6" s="28" t="str">
        <x:v>OCF ($B)</x:v>
      </x:c>
      <x:c r="E6" s="28" t="str">
        <x:v>Capex / OCF</x:v>
      </x:c>
      <x:c r="F6" s="28" t="str">
        <x:v>Net PPE ($B)</x:v>
      </x:c>
      <x:c r="G6" s="28" t="str">
        <x:v>CIP / not in service ($B)</x:v>
      </x:c>
      <x:c r="H6" s="28" t="str">
        <x:v>Uncommenced leases ($B)</x:v>
      </x:c>
      <x:c r="I6" s="28" t="str">
        <x:v>Purchase / contractual ($B)</x:v>
      </x:c>
      <x:c r="J6" s="28" t="str">
        <x:v>Total obligations shown ($B)</x:v>
      </x:c>
      <x:c r="K6" s="28" t="str">
        <x:v>Debt ($B)</x:v>
      </x:c>
      <x:c r="L6" s="28" t="str">
        <x:v>RPO / backlog ($B)</x:v>
      </x:c>
      <x:c r="M6" s="28" t="str">
        <x:v>Notes</x:v>
      </x:c>
      <x:c r="N6" s="28" t="str">
        <x:v>Source IDs</x:v>
      </x:c>
    </x:row>
    <x:row r="7">
      <x:c r="A7" s="48" t="str">
        <x:v>Microsoft</x:v>
      </x:c>
      <x:c r="B7" s="48" t="str">
        <x:v>FY2026</x:v>
      </x:c>
      <x:c r="C7" s="70" t="n">
        <x:v>115.948</x:v>
      </x:c>
      <x:c r="D7" s="70" t="n">
        <x:v>182.935</x:v>
      </x:c>
      <x:c r="E7" s="96" t="n">
        <x:f>IF(D7=0,0,C7/D7)</x:f>
        <x:v>0.6338207560062317</x:v>
      </x:c>
      <x:c r="F7" s="70" t="n">
        <x:v>313.076</x:v>
      </x:c>
      <x:c r="G7" s="70"/>
      <x:c r="H7" s="70" t="n">
        <x:v>329.1</x:v>
      </x:c>
      <x:c r="I7" s="70" t="n">
        <x:v>194.06</x:v>
      </x:c>
      <x:c r="J7" s="70" t="n">
        <x:v>743.821</x:v>
      </x:c>
      <x:c r="K7" s="70"/>
      <x:c r="L7" s="70" t="n">
        <x:v>684</x:v>
      </x:c>
      <x:c r="M7" s="48" t="str">
        <x:v>Lease total includes interest; construction commitments $34.566B; uncommenced leases mostly data centers, start FY27-FY33.</x:v>
      </x:c>
      <x:c r="N7" s="48" t="str">
        <x:v>S12</x:v>
      </x:c>
    </x:row>
    <x:row r="8">
      <x:c r="A8" s="48" t="str">
        <x:v>Alphabet / Google</x:v>
      </x:c>
      <x:c r="B8" s="48" t="str">
        <x:v>H1 2026 / Q2 BS</x:v>
      </x:c>
      <x:c r="C8" s="70" t="n">
        <x:v>80.598</x:v>
      </x:c>
      <x:c r="D8" s="70" t="n">
        <x:v>84.859</x:v>
      </x:c>
      <x:c r="E8" s="96" t="n">
        <x:f>IF(D8=0,0,C8/D8)</x:f>
        <x:v>0.9497872942174667</x:v>
      </x:c>
      <x:c r="F8" s="70" t="n">
        <x:v>321.212</x:v>
      </x:c>
      <x:c r="G8" s="70" t="n">
        <x:v>122.814</x:v>
      </x:c>
      <x:c r="H8" s="70" t="n">
        <x:v>85.2</x:v>
      </x:c>
      <x:c r="I8" s="70" t="n">
        <x:v>811</x:v>
      </x:c>
      <x:c r="J8" s="70"/>
      <x:c r="K8" s="70" t="n">
        <x:v>98.2</x:v>
      </x:c>
      <x:c r="L8" s="70" t="n">
        <x:v>519.5</x:v>
      </x:c>
      <x:c r="M8" s="48" t="str">
        <x:v>Purchase/other commitments are broad; $24.1B estimated future data-center/energy backstops and $20B private-company capital commitments.</x:v>
      </x:c>
      <x:c r="N8" s="48" t="str">
        <x:v>S20</x:v>
      </x:c>
    </x:row>
    <x:row r="9">
      <x:c r="A9" s="48" t="str">
        <x:v>Amazon / AWS</x:v>
      </x:c>
      <x:c r="B9" s="48" t="str">
        <x:v>H1 2026 / Q2 BS</x:v>
      </x:c>
      <x:c r="C9" s="70" t="n">
        <x:v>98.411</x:v>
      </x:c>
      <x:c r="D9" s="70" t="n">
        <x:v>71.419</x:v>
      </x:c>
      <x:c r="E9" s="96" t="n">
        <x:f>IF(D9=0,0,C9/D9)</x:f>
        <x:v>1.3779386437782664</x:v>
      </x:c>
      <x:c r="F9" s="70" t="n">
        <x:v>263.75</x:v>
      </x:c>
      <x:c r="G9" s="70"/>
      <x:c r="H9" s="70" t="n">
        <x:v>137.214</x:v>
      </x:c>
      <x:c r="I9" s="70" t="n">
        <x:v>148.431</x:v>
      </x:c>
      <x:c r="J9" s="70" t="n">
        <x:v>650.034</x:v>
      </x:c>
      <x:c r="K9" s="70"/>
      <x:c r="L9" s="70" t="n">
        <x:v>496</x:v>
      </x:c>
      <x:c r="M9" s="48" t="str">
        <x:v>Cash PPE is consolidated; AWS H1 net PPE additions $90.120B. Lease/purchase totals include non-data-center categories.</x:v>
      </x:c>
      <x:c r="N9" s="48" t="str">
        <x:v>S23</x:v>
      </x:c>
    </x:row>
    <x:row r="10">
      <x:c r="A10" s="48" t="str">
        <x:v>Meta</x:v>
      </x:c>
      <x:c r="B10" s="48" t="str">
        <x:v>H1 2026 / Q2 BS</x:v>
      </x:c>
      <x:c r="C10" s="70" t="n">
        <x:v>50.92</x:v>
      </x:c>
      <x:c r="D10" s="70" t="n">
        <x:v>64.088</x:v>
      </x:c>
      <x:c r="E10" s="96" t="n">
        <x:f>IF(D10=0,0,C10/D10)</x:f>
        <x:v>0.7945325177880416</x:v>
      </x:c>
      <x:c r="F10" s="70" t="n">
        <x:v>225.724</x:v>
      </x:c>
      <x:c r="G10" s="70" t="n">
        <x:v>80.345</x:v>
      </x:c>
      <x:c r="H10" s="70" t="n">
        <x:v>346.99</x:v>
      </x:c>
      <x:c r="I10" s="70" t="n">
        <x:v>349.31</x:v>
      </x:c>
      <x:c r="J10" s="70"/>
      <x:c r="K10" s="70" t="n">
        <x:v>83.664</x:v>
      </x:c>
      <x:c r="L10" s="70"/>
      <x:c r="M10" s="48" t="str">
        <x:v>Post-period uncommenced leases include $68B July agreements; do not add to contractual commitments because overlap is likely.</x:v>
      </x:c>
      <x:c r="N10" s="48" t="str">
        <x:v>S27</x:v>
      </x:c>
    </x:row>
    <x:row r="11">
      <x:c r="A11" s="48" t="str">
        <x:v>Oracle</x:v>
      </x:c>
      <x:c r="B11" s="48" t="str">
        <x:v>FY2026</x:v>
      </x:c>
      <x:c r="C11" s="70" t="n">
        <x:v>55.663</x:v>
      </x:c>
      <x:c r="D11" s="70" t="n">
        <x:v>31.977</x:v>
      </x:c>
      <x:c r="E11" s="96" t="n">
        <x:f>IF(D11=0,0,C11/D11)</x:f>
        <x:v>1.7407198924226788</x:v>
      </x:c>
      <x:c r="F11" s="70" t="n">
        <x:v>99.957</x:v>
      </x:c>
      <x:c r="G11" s="70" t="n">
        <x:v>39.973</x:v>
      </x:c>
      <x:c r="H11" s="70" t="n">
        <x:v>260</x:v>
      </x:c>
      <x:c r="I11" s="70" t="n">
        <x:v>13.309</x:v>
      </x:c>
      <x:c r="J11" s="70" t="n">
        <x:v>273.309</x:v>
      </x:c>
      <x:c r="K11" s="70" t="n">
        <x:v>129.541</x:v>
      </x:c>
      <x:c r="L11" s="70" t="n">
        <x:v>638</x:v>
      </x:c>
      <x:c r="M11" s="48" t="str">
        <x:v>Uncommenced leases substantially all data centers, start FY27-FY29, 15-19 years; includes $3.3B lessor guarantee. Subsequent $19B purchases excluded.</x:v>
      </x:c>
      <x:c r="N11" s="48" t="str">
        <x:v>S31,S32</x:v>
      </x:c>
    </x:row>
    <x:row r="12">
      <x:c r="A12" s="48" t="str">
        <x:v>CoreWeave</x:v>
      </x:c>
      <x:c r="B12" s="48" t="str">
        <x:v>H1 2026 / Q2 BS</x:v>
      </x:c>
      <x:c r="C12" s="70" t="n">
        <x:v>14.117</x:v>
      </x:c>
      <x:c r="D12" s="70" t="n">
        <x:v>3.663</x:v>
      </x:c>
      <x:c r="E12" s="96" t="n">
        <x:f>IF(D12=0,0,C12/D12)</x:f>
        <x:v>3.853944853944854</x:v>
      </x:c>
      <x:c r="F12" s="70" t="n">
        <x:v>46.736</x:v>
      </x:c>
      <x:c r="G12" s="70" t="n">
        <x:v>11.918</x:v>
      </x:c>
      <x:c r="H12" s="70" t="n">
        <x:v>35.5</x:v>
      </x:c>
      <x:c r="I12" s="70" t="n">
        <x:v>1.8</x:v>
      </x:c>
      <x:c r="J12" s="70" t="n">
        <x:v>37.3</x:v>
      </x:c>
      <x:c r="K12" s="70" t="n">
        <x:v>35.551</x:v>
      </x:c>
      <x:c r="L12" s="70" t="n">
        <x:v>104</x:v>
      </x:c>
      <x:c r="M12" s="48" t="str">
        <x:v>Cash capex excludes $9.796B noncash PPE liabilities/OEM financing and $8.359B ROU additions. 393 MW site has up to $14.7B payments/16 years.</x:v>
      </x:c>
      <x:c r="N12" s="48" t="str">
        <x:v>S37,S38</x:v>
      </x:c>
    </x:row>
    <x:row r="13">
      <x:c r="A13" s="54" t="str">
        <x:v>Tesla</x:v>
      </x:c>
      <x:c r="B13" s="54" t="str">
        <x:v>Q2 2026</x:v>
      </x:c>
      <x:c r="C13" s="71" t="n">
        <x:v>5.789</x:v>
      </x:c>
      <x:c r="D13" s="71" t="n">
        <x:v>4.697</x:v>
      </x:c>
      <x:c r="E13" s="97" t="n">
        <x:f>IF(D13=0,0,C13/D13)</x:f>
        <x:v>1.232488822652757</x:v>
      </x:c>
      <x:c r="F13" s="71"/>
      <x:c r="G13" s="71"/>
      <x:c r="H13" s="71"/>
      <x:c r="I13" s="71"/>
      <x:c r="J13" s="71"/>
      <x:c r="K13" s="71"/>
      <x:c r="L13" s="71"/>
      <x:c r="M13" s="54" t="str">
        <x:v>Company-wide capex/OCF; compute is only one use of capital.</x:v>
      </x:c>
      <x:c r="N13" s="54" t="str">
        <x:v>S47</x:v>
      </x:c>
    </x:row>
  </x:sheetData>
  <x:mergeCells>
    <x:mergeCell ref="A1:N2"/>
    <x:mergeCell ref="A3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9" hidden="0" customWidth="1"/>
    <x:col min="3" max="3" width="12" hidden="0" customWidth="1"/>
    <x:col min="4" max="4" width="11" hidden="0" customWidth="1"/>
    <x:col min="5" max="5" width="18" hidden="0" customWidth="1"/>
    <x:col min="6" max="6" width="12" hidden="0" customWidth="1"/>
    <x:col min="7" max="7" width="15" hidden="0" customWidth="1"/>
    <x:col min="8" max="8" width="15" hidden="0" customWidth="1"/>
    <x:col min="9" max="9" width="14" hidden="0" customWidth="1"/>
    <x:col min="10" max="10" width="15" hidden="0" customWidth="1"/>
    <x:col min="11" max="11" width="17" hidden="0" customWidth="1"/>
    <x:col min="12" max="12" width="14" hidden="0" customWidth="1"/>
    <x:col min="13" max="13" width="58" hidden="0" customWidth="1"/>
    <x:col min="14" max="14" width="20" hidden="0" customWidth="1"/>
    <x:col min="15" max="15" width="19" hidden="0" customWidth="1"/>
    <x:col min="16" max="16" width="24" hidden="0" customWidth="1"/>
  </x:cols>
  <x:sheetData>
    <x:row r="1">
      <x:c r="A1" s="5" t="str">
        <x:v>Comparable cost stack: facility, hardware, full-stack and service layers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13" t="str">
        <x:v>Do not compare powered-shell leases with full GPU service contracts. Values are nominal and undiscounted unless stated. Sort/filter by Layer. Sources S03,S17,S24,S28-S29,S37,S39-S46,S49.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6">
      <x:c r="A6" s="28" t="str">
        <x:v>Benchmark</x:v>
      </x:c>
      <x:c r="B6" s="28" t="str">
        <x:v>Layer</x:v>
      </x:c>
      <x:c r="C6" s="28" t="str">
        <x:v>Capacity MW</x:v>
      </x:c>
      <x:c r="D6" s="28" t="str">
        <x:v>Term years</x:v>
      </x:c>
      <x:c r="E6" s="28" t="str">
        <x:v>Contract / project value ($B)</x:v>
      </x:c>
      <x:c r="F6" s="28" t="str">
        <x:v>Capex ($B)</x:v>
      </x:c>
      <x:c r="G6" s="28" t="str">
        <x:v>Nominal $B / GW</x:v>
      </x:c>
      <x:c r="H6" s="28" t="str">
        <x:v>Annual $B / GW</x:v>
      </x:c>
      <x:c r="I6" s="28" t="str">
        <x:v>$/kW-month</x:v>
      </x:c>
      <x:c r="J6" s="28" t="str">
        <x:v>Power included</x:v>
      </x:c>
      <x:c r="K6" s="28" t="str">
        <x:v>Hardware included</x:v>
      </x:c>
      <x:c r="L6" s="28" t="str">
        <x:v>Source IDs</x:v>
      </x:c>
      <x:c r="M6" s="28" t="str">
        <x:v>Caveat</x:v>
      </x:c>
      <x:c r="N6" s="28" t="str">
        <x:v>Treatment</x:v>
      </x:c>
      <x:c r="O6" s="28" t="str">
        <x:v>Five-year nominal $B/GW</x:v>
      </x:c>
      <x:c r="P6" s="28" t="str">
        <x:v>Value / utilized IT-kWh at 71%</x:v>
      </x:c>
    </x:row>
    <x:row r="7">
      <x:c r="A7" s="48" t="str">
        <x:v>Core Scientific - brownfield shell buildout credit</x:v>
      </x:c>
      <x:c r="B7" s="48" t="str">
        <x:v>Powered shell / retrofit capex</x:v>
      </x:c>
      <x:c r="C7" s="66" t="n">
        <x:v>70</x:v>
      </x:c>
      <x:c r="D7" s="66"/>
      <x:c r="E7" s="70" t="n">
        <x:v>0.104</x:v>
      </x:c>
      <x:c r="F7" s="70" t="n">
        <x:v>0.104</x:v>
      </x:c>
      <x:c r="G7" s="70" t="n">
        <x:v>1.486</x:v>
      </x:c>
      <x:c r="H7" s="70"/>
      <x:c r="I7" s="100"/>
      <x:c r="J7" s="48" t="str">
        <x:v>No</x:v>
      </x:c>
      <x:c r="K7" s="48" t="str">
        <x:v>No</x:v>
      </x:c>
      <x:c r="L7" s="48" t="str">
        <x:v>S40</x:v>
      </x:c>
      <x:c r="M7" s="48" t="str">
        <x:v>Brownfield/credit structure; not comparable with a greenfield AI factory.</x:v>
      </x:c>
      <x:c r="N7" s="48" t="str">
        <x:v>Derived from disclosure</x:v>
      </x:c>
      <x:c r="O7" s="88" t="n">
        <x:f>IF(H7=0,0,H7*5)</x:f>
        <x:v>0</x:v>
      </x:c>
      <x:c r="P7" s="88" t="n">
        <x:f>IF(H7=0,0,H7/(8.76*0.71))</x:f>
        <x:v>0</x:v>
      </x:c>
    </x:row>
    <x:row r="8">
      <x:c r="A8" s="48" t="str">
        <x:v>Meta / Blue Owl Hyperion JV</x:v>
      </x:c>
      <x:c r="B8" s="48" t="str">
        <x:v>Long-lived facilities JV</x:v>
      </x:c>
      <x:c r="C8" s="66" t="n">
        <x:v>5000</x:v>
      </x:c>
      <x:c r="D8" s="66"/>
      <x:c r="E8" s="70" t="n">
        <x:v>27</x:v>
      </x:c>
      <x:c r="F8" s="70" t="n">
        <x:v>27</x:v>
      </x:c>
      <x:c r="G8" s="70" t="n">
        <x:v>5.4</x:v>
      </x:c>
      <x:c r="H8" s="70"/>
      <x:c r="I8" s="100"/>
      <x:c r="J8" s="48" t="str">
        <x:v>No</x:v>
      </x:c>
      <x:c r="K8" s="48" t="str">
        <x:v>No</x:v>
      </x:c>
      <x:c r="L8" s="48" t="str">
        <x:v>S28,S29</x:v>
      </x:c>
      <x:c r="M8" s="48" t="str">
        <x:v>Raw ratio uses 5 GW target against $27B JV facility assets; scope/timing do not align perfectly.</x:v>
      </x:c>
      <x:c r="N8" s="48" t="str">
        <x:v>Model / rough ratio</x:v>
      </x:c>
      <x:c r="O8" s="88" t="n">
        <x:f>IF(H8=0,0,H8*5)</x:f>
        <x:v>0</x:v>
      </x:c>
      <x:c r="P8" s="88" t="n">
        <x:f>IF(H8=0,0,H8/(8.76*0.71))</x:f>
        <x:v>0</x:v>
      </x:c>
    </x:row>
    <x:row r="9">
      <x:c r="A9" s="48" t="str">
        <x:v>Amazon Indiana campuses</x:v>
      </x:c>
      <x:c r="B9" s="48" t="str">
        <x:v>Campus / infrastructure investment</x:v>
      </x:c>
      <x:c r="C9" s="66" t="n">
        <x:v>2400</x:v>
      </x:c>
      <x:c r="D9" s="66"/>
      <x:c r="E9" s="70" t="n">
        <x:v>15</x:v>
      </x:c>
      <x:c r="F9" s="70" t="n">
        <x:v>15</x:v>
      </x:c>
      <x:c r="G9" s="70" t="n">
        <x:v>6.25</x:v>
      </x:c>
      <x:c r="H9" s="70"/>
      <x:c r="I9" s="100"/>
      <x:c r="J9" s="48" t="str">
        <x:v>Partly</x:v>
      </x:c>
      <x:c r="K9" s="48" t="str">
        <x:v>No / unclear</x:v>
      </x:c>
      <x:c r="L9" s="48" t="str">
        <x:v>S26</x:v>
      </x:c>
      <x:c r="M9" s="48" t="str">
        <x:v>Headline ratio is $6.25B per disclosed facility/data-center GW. At the report-wide 1.25 PUE bridge it is $7.81B per modeled IT GW; the announcement does not provide a clean full-stack accelerator bill of materials.</x:v>
      </x:c>
      <x:c r="N9" s="48" t="str">
        <x:v>Derived disclosure + IT-power normalization</x:v>
      </x:c>
      <x:c r="O9" s="88" t="n">
        <x:f>IF(H9=0,0,H9*5)</x:f>
        <x:v>0</x:v>
      </x:c>
      <x:c r="P9" s="88" t="n">
        <x:f>IF(H9=0,0,H9/(8.76*0.71))</x:f>
        <x:v>0</x:v>
      </x:c>
    </x:row>
    <x:row r="10">
      <x:c r="A10" s="48" t="str">
        <x:v>Applied Digital new-build estimate</x:v>
      </x:c>
      <x:c r="B10" s="48" t="str">
        <x:v>Greenfield powered facility capex</x:v>
      </x:c>
      <x:c r="C10" s="66" t="n">
        <x:v>1000</x:v>
      </x:c>
      <x:c r="D10" s="66"/>
      <x:c r="E10" s="70" t="n">
        <x:v>12</x:v>
      </x:c>
      <x:c r="F10" s="70" t="n">
        <x:v>12</x:v>
      </x:c>
      <x:c r="G10" s="70" t="n">
        <x:v>12</x:v>
      </x:c>
      <x:c r="H10" s="70"/>
      <x:c r="I10" s="100"/>
      <x:c r="J10" s="48" t="str">
        <x:v>No</x:v>
      </x:c>
      <x:c r="K10" s="48" t="str">
        <x:v>No</x:v>
      </x:c>
      <x:c r="L10" s="48" t="str">
        <x:v>S46</x:v>
      </x:c>
      <x:c r="M10" s="48" t="str">
        <x:v>Midpoint of $11M-$13M/MW; tenant hardware and passed-through power excluded.</x:v>
      </x:c>
      <x:c r="N10" s="48" t="str">
        <x:v>Model / rough ratio</x:v>
      </x:c>
      <x:c r="O10" s="88" t="n">
        <x:f>IF(H10=0,0,H10*5)</x:f>
        <x:v>0</x:v>
      </x:c>
      <x:c r="P10" s="88" t="n">
        <x:f>IF(H10=0,0,H10/(8.76*0.71))</x:f>
        <x:v>0</x:v>
      </x:c>
    </x:row>
    <x:row r="11">
      <x:c r="A11" s="48" t="str">
        <x:v>IREN / Dell hardware for Microsoft</x:v>
      </x:c>
      <x:c r="B11" s="48" t="str">
        <x:v>GPU / IT equipment capex</x:v>
      </x:c>
      <x:c r="C11" s="66" t="n">
        <x:v>200</x:v>
      </x:c>
      <x:c r="D11" s="66"/>
      <x:c r="E11" s="70" t="n">
        <x:v>5.8</x:v>
      </x:c>
      <x:c r="F11" s="70" t="n">
        <x:v>5.8</x:v>
      </x:c>
      <x:c r="G11" s="70" t="n">
        <x:v>29</x:v>
      </x:c>
      <x:c r="H11" s="70"/>
      <x:c r="I11" s="100"/>
      <x:c r="J11" s="48" t="str">
        <x:v>No</x:v>
      </x:c>
      <x:c r="K11" s="48" t="str">
        <x:v>Yes</x:v>
      </x:c>
      <x:c r="L11" s="48" t="str">
        <x:v>S17</x:v>
      </x:c>
      <x:c r="M11" s="48" t="str">
        <x:v>GPU/IT hardware for a specific 200 MW deployment; facility layer separate.</x:v>
      </x:c>
      <x:c r="N11" s="48" t="str">
        <x:v>Derived from disclosure</x:v>
      </x:c>
      <x:c r="O11" s="88" t="n">
        <x:f>IF(H11=0,0,H11*5)</x:f>
        <x:v>0</x:v>
      </x:c>
      <x:c r="P11" s="88" t="n">
        <x:f>IF(H11=0,0,H11/(8.76*0.71))</x:f>
        <x:v>0</x:v>
      </x:c>
    </x:row>
    <x:row r="12">
      <x:c r="A12" s="48" t="str">
        <x:v>Epoch one-GW GB200 model</x:v>
      </x:c>
      <x:c r="B12" s="48" t="str">
        <x:v>Installed full-stack capex</x:v>
      </x:c>
      <x:c r="C12" s="66" t="n">
        <x:v>1000</x:v>
      </x:c>
      <x:c r="D12" s="66"/>
      <x:c r="E12" s="70" t="n">
        <x:v>37.883</x:v>
      </x:c>
      <x:c r="F12" s="70" t="n">
        <x:v>37.883</x:v>
      </x:c>
      <x:c r="G12" s="70" t="n">
        <x:v>37.883</x:v>
      </x:c>
      <x:c r="H12" s="70" t="n">
        <x:v>8.514</x:v>
      </x:c>
      <x:c r="I12" s="100"/>
      <x:c r="J12" s="48" t="str">
        <x:v>Annual TCO only</x:v>
      </x:c>
      <x:c r="K12" s="48" t="str">
        <x:v>Yes</x:v>
      </x:c>
      <x:c r="L12" s="48" t="str">
        <x:v>S03</x:v>
      </x:c>
      <x:c r="M12" s="48" t="str">
        <x:v>Common model, not observed vendor spend; five-year IT/14-year facility lives.</x:v>
      </x:c>
      <x:c r="N12" s="48" t="str">
        <x:v>Model / rough ratio</x:v>
      </x:c>
      <x:c r="O12" s="88" t="n">
        <x:f>IF(H12=0,0,H12*5)</x:f>
        <x:v>42.56999999999999</x:v>
      </x:c>
      <x:c r="P12" s="88" t="n">
        <x:f>IF(H12=0,0,H12/(8.76*0.71))</x:f>
        <x:v>1.368898321435462</x:v>
      </x:c>
    </x:row>
    <x:row r="13">
      <x:c r="A13" s="48" t="str">
        <x:v>Core Scientific / CoreWeave</x:v>
      </x:c>
      <x:c r="B13" s="48" t="str">
        <x:v>Recurring powered shell lease</x:v>
      </x:c>
      <x:c r="C13" s="66" t="n">
        <x:v>590</x:v>
      </x:c>
      <x:c r="D13" s="66" t="n">
        <x:v>12</x:v>
      </x:c>
      <x:c r="E13" s="70" t="n">
        <x:v>10.2</x:v>
      </x:c>
      <x:c r="F13" s="70"/>
      <x:c r="G13" s="70" t="n">
        <x:v>17.28813559322034</x:v>
      </x:c>
      <x:c r="H13" s="70" t="n">
        <x:v>1.4406779661016949</x:v>
      </x:c>
      <x:c r="I13" s="100" t="n">
        <x:v>120.05649717514125</x:v>
      </x:c>
      <x:c r="J13" s="48" t="str">
        <x:v>No</x:v>
      </x:c>
      <x:c r="K13" s="48" t="str">
        <x:v>No</x:v>
      </x:c>
      <x:c r="L13" s="48" t="str">
        <x:v>S39,S40</x:v>
      </x:c>
      <x:c r="M13" s="48" t="str">
        <x:v>Tenant pays power/utilities and much buildout; nominal lease value.</x:v>
      </x:c>
      <x:c r="N13" s="48" t="str">
        <x:v>Derived from disclosure</x:v>
      </x:c>
      <x:c r="O13" s="88" t="n">
        <x:f>IF(H13=0,0,H13*5)</x:f>
        <x:v>7.203389830508474</x:v>
      </x:c>
      <x:c r="P13" s="88" t="n">
        <x:f>IF(H13=0,0,H13/(8.76*0.71))</x:f>
        <x:v>0.23163514793583106</x:v>
      </x:c>
    </x:row>
    <x:row r="14">
      <x:c r="A14" s="48" t="str">
        <x:v>Applied Digital / CoreWeave 400 MW</x:v>
      </x:c>
      <x:c r="B14" s="48" t="str">
        <x:v>Recurring powered shell lease</x:v>
      </x:c>
      <x:c r="C14" s="66" t="n">
        <x:v>400</x:v>
      </x:c>
      <x:c r="D14" s="66" t="n">
        <x:v>15</x:v>
      </x:c>
      <x:c r="E14" s="70" t="n">
        <x:v>11</x:v>
      </x:c>
      <x:c r="F14" s="70"/>
      <x:c r="G14" s="70" t="n">
        <x:v>27.5</x:v>
      </x:c>
      <x:c r="H14" s="70" t="n">
        <x:v>1.8333333333333333</x:v>
      </x:c>
      <x:c r="I14" s="100" t="n">
        <x:v>152.77777777777777</x:v>
      </x:c>
      <x:c r="J14" s="48" t="str">
        <x:v>Pass-through</x:v>
      </x:c>
      <x:c r="K14" s="48" t="str">
        <x:v>No</x:v>
      </x:c>
      <x:c r="L14" s="48" t="str">
        <x:v>S43,S46</x:v>
      </x:c>
      <x:c r="M14" s="48" t="str">
        <x:v>Approximately 15 years; excludes hardware and passed-through electricity.</x:v>
      </x:c>
      <x:c r="N14" s="48" t="str">
        <x:v>Derived from disclosure</x:v>
      </x:c>
      <x:c r="O14" s="88" t="n">
        <x:f>IF(H14=0,0,H14*5)</x:f>
        <x:v>9.166666666666666</x:v>
      </x:c>
      <x:c r="P14" s="88" t="n">
        <x:f>IF(H14=0,0,H14/(8.76*0.71))</x:f>
        <x:v>0.2947670804124595</x:v>
      </x:c>
    </x:row>
    <x:row r="15">
      <x:c r="A15" s="48" t="str">
        <x:v>Applied Digital 200 MW AI factory</x:v>
      </x:c>
      <x:c r="B15" s="48" t="str">
        <x:v>Recurring powered shell lease</x:v>
      </x:c>
      <x:c r="C15" s="66" t="n">
        <x:v>200</x:v>
      </x:c>
      <x:c r="D15" s="66" t="n">
        <x:v>15</x:v>
      </x:c>
      <x:c r="E15" s="70" t="n">
        <x:v>5</x:v>
      </x:c>
      <x:c r="F15" s="70"/>
      <x:c r="G15" s="70" t="n">
        <x:v>25</x:v>
      </x:c>
      <x:c r="H15" s="70" t="n">
        <x:v>1.6666666666666667</x:v>
      </x:c>
      <x:c r="I15" s="100" t="n">
        <x:v>138.88888888888889</x:v>
      </x:c>
      <x:c r="J15" s="48" t="str">
        <x:v>Pass-through</x:v>
      </x:c>
      <x:c r="K15" s="48" t="str">
        <x:v>No</x:v>
      </x:c>
      <x:c r="L15" s="48" t="str">
        <x:v>S44</x:v>
      </x:c>
      <x:c r="M15" s="48" t="str">
        <x:v>15-year lease.</x:v>
      </x:c>
      <x:c r="N15" s="48" t="str">
        <x:v>Derived from disclosure</x:v>
      </x:c>
      <x:c r="O15" s="88" t="n">
        <x:f>IF(H15=0,0,H15*5)</x:f>
        <x:v>8.333333333333334</x:v>
      </x:c>
      <x:c r="P15" s="88" t="n">
        <x:f>IF(H15=0,0,H15/(8.76*0.71))</x:f>
        <x:v>0.267970073102236</x:v>
      </x:c>
    </x:row>
    <x:row r="16">
      <x:c r="A16" s="48" t="str">
        <x:v>Galaxy Helios / CoreWeave</x:v>
      </x:c>
      <x:c r="B16" s="48" t="str">
        <x:v>Recurring powered shell lease</x:v>
      </x:c>
      <x:c r="C16" s="66" t="n">
        <x:v>526</x:v>
      </x:c>
      <x:c r="D16" s="66" t="n">
        <x:v>15</x:v>
      </x:c>
      <x:c r="E16" s="70" t="n">
        <x:v>15</x:v>
      </x:c>
      <x:c r="F16" s="70"/>
      <x:c r="G16" s="70" t="n">
        <x:v>28.517110266159694</x:v>
      </x:c>
      <x:c r="H16" s="70" t="n">
        <x:v>1.9011406844106462</x:v>
      </x:c>
      <x:c r="I16" s="100" t="n">
        <x:v>158.42839036755387</x:v>
      </x:c>
      <x:c r="J16" s="48" t="str">
        <x:v>No / pass-through</x:v>
      </x:c>
      <x:c r="K16" s="48" t="str">
        <x:v>No</x:v>
      </x:c>
      <x:c r="L16" s="48" t="str">
        <x:v>S42</x:v>
      </x:c>
      <x:c r="M16" s="48" t="str">
        <x:v>Uses stated &gt;$1B annual revenue; ratio is a floor.</x:v>
      </x:c>
      <x:c r="N16" s="48" t="str">
        <x:v>Model / rough ratio</x:v>
      </x:c>
      <x:c r="O16" s="88" t="n">
        <x:f>IF(H16=0,0,H16*5)</x:f>
        <x:v>9.50570342205323</x:v>
      </x:c>
      <x:c r="P16" s="88" t="n">
        <x:f>IF(H16=0,0,H16/(8.76*0.71))</x:f>
        <x:v>0.30566928490749345</x:v>
      </x:c>
    </x:row>
    <x:row r="17">
      <x:c r="A17" s="48" t="str">
        <x:v>CoreWeave significant undelivered site</x:v>
      </x:c>
      <x:c r="B17" s="48" t="str">
        <x:v>Recurring powered shell lease</x:v>
      </x:c>
      <x:c r="C17" s="66" t="n">
        <x:v>393</x:v>
      </x:c>
      <x:c r="D17" s="66" t="n">
        <x:v>16</x:v>
      </x:c>
      <x:c r="E17" s="70" t="n">
        <x:v>14.7</x:v>
      </x:c>
      <x:c r="F17" s="70"/>
      <x:c r="G17" s="70" t="n">
        <x:v>37.404580152671755</x:v>
      </x:c>
      <x:c r="H17" s="70" t="n">
        <x:v>2.3377862595419847</x:v>
      </x:c>
      <x:c r="I17" s="100" t="n">
        <x:v>194.81552162849871</x:v>
      </x:c>
      <x:c r="J17" s="48" t="str">
        <x:v>Unclear</x:v>
      </x:c>
      <x:c r="K17" s="48" t="str">
        <x:v>No</x:v>
      </x:c>
      <x:c r="L17" s="48" t="str">
        <x:v>S37</x:v>
      </x:c>
      <x:c r="M17" s="48" t="str">
        <x:v>Maximum undiscounted payment; terms not fully disclosed.</x:v>
      </x:c>
      <x:c r="N17" s="48" t="str">
        <x:v>Derived from disclosure</x:v>
      </x:c>
      <x:c r="O17" s="88" t="n">
        <x:f>IF(H17=0,0,H17*5)</x:f>
        <x:v>11.688931297709924</x:v>
      </x:c>
      <x:c r="P17" s="88" t="n">
        <x:f>IF(H17=0,0,H17/(8.76*0.71))</x:f>
        <x:v>0.37587405292012105</x:v>
      </x:c>
    </x:row>
    <x:row r="18">
      <x:c r="A18" s="48" t="str">
        <x:v>IREN / Microsoft</x:v>
      </x:c>
      <x:c r="B18" s="48" t="str">
        <x:v>Full GPU service contract</x:v>
      </x:c>
      <x:c r="C18" s="66" t="n">
        <x:v>200</x:v>
      </x:c>
      <x:c r="D18" s="66" t="n">
        <x:v>5</x:v>
      </x:c>
      <x:c r="E18" s="70" t="n">
        <x:v>9.7</x:v>
      </x:c>
      <x:c r="F18" s="70"/>
      <x:c r="G18" s="70" t="n">
        <x:v>48.5</x:v>
      </x:c>
      <x:c r="H18" s="70" t="n">
        <x:v>9.7</x:v>
      </x:c>
      <x:c r="I18" s="100" t="n">
        <x:v>808.3333333333334</x:v>
      </x:c>
      <x:c r="J18" s="48" t="str">
        <x:v>Yes / service</x:v>
      </x:c>
      <x:c r="K18" s="48" t="str">
        <x:v>Yes</x:v>
      </x:c>
      <x:c r="L18" s="48" t="str">
        <x:v>S17</x:v>
      </x:c>
      <x:c r="M18" s="48" t="str">
        <x:v>Integrated GPU service; not comparable to powered shell lease.</x:v>
      </x:c>
      <x:c r="N18" s="48" t="str">
        <x:v>Derived from disclosure</x:v>
      </x:c>
      <x:c r="O18" s="88" t="n">
        <x:f>IF(H18=0,0,H18*5)</x:f>
        <x:v>48.5</x:v>
      </x:c>
      <x:c r="P18" s="88" t="n">
        <x:f>IF(H18=0,0,H18/(8.76*0.71))</x:f>
        <x:v>1.5595858254550132</x:v>
      </x:c>
    </x:row>
    <x:row r="19">
      <x:c r="A19" s="48" t="str">
        <x:v>Amazon / Anthropic</x:v>
      </x:c>
      <x:c r="B19" s="48" t="str">
        <x:v>Customer AI service commitment</x:v>
      </x:c>
      <x:c r="C19" s="66" t="n">
        <x:v>5000</x:v>
      </x:c>
      <x:c r="D19" s="66" t="n">
        <x:v>10</x:v>
      </x:c>
      <x:c r="E19" s="70" t="n">
        <x:v>100</x:v>
      </x:c>
      <x:c r="F19" s="70"/>
      <x:c r="G19" s="70" t="n">
        <x:v>20</x:v>
      </x:c>
      <x:c r="H19" s="70" t="n">
        <x:v>2</x:v>
      </x:c>
      <x:c r="I19" s="100" t="n">
        <x:v>166.66666666666666</x:v>
      </x:c>
      <x:c r="J19" s="48" t="str">
        <x:v>Yes / service</x:v>
      </x:c>
      <x:c r="K19" s="48" t="str">
        <x:v>Yes</x:v>
      </x:c>
      <x:c r="L19" s="48" t="str">
        <x:v>S24</x:v>
      </x:c>
      <x:c r="M19" s="48" t="str">
        <x:v>Ratios are lower-bound/upper-capacity hybrids; ramp/utilization unknown.</x:v>
      </x:c>
      <x:c r="N19" s="48" t="str">
        <x:v>Model / rough ratio</x:v>
      </x:c>
      <x:c r="O19" s="88" t="n">
        <x:f>IF(H19=0,0,H19*5)</x:f>
        <x:v>10</x:v>
      </x:c>
      <x:c r="P19" s="88" t="n">
        <x:f>IF(H19=0,0,H19/(8.76*0.71))</x:f>
        <x:v>0.32156408772268313</x:v>
      </x:c>
    </x:row>
    <x:row r="20">
      <x:c r="A20" s="48" t="str">
        <x:v>Oracle / OpenAI cross-announcement ratio</x:v>
      </x:c>
      <x:c r="B20" s="48" t="str">
        <x:v>Customer AI service commitment</x:v>
      </x:c>
      <x:c r="C20" s="66" t="n">
        <x:v>5500</x:v>
      </x:c>
      <x:c r="D20" s="66" t="n">
        <x:v>5</x:v>
      </x:c>
      <x:c r="E20" s="70" t="n">
        <x:v>300</x:v>
      </x:c>
      <x:c r="F20" s="70"/>
      <x:c r="G20" s="70" t="n">
        <x:v>54.54545454545455</x:v>
      </x:c>
      <x:c r="H20" s="70" t="n">
        <x:v>10.90909090909091</x:v>
      </x:c>
      <x:c r="I20" s="100" t="n">
        <x:v>909.0909090909091</x:v>
      </x:c>
      <x:c r="J20" s="48" t="str">
        <x:v>Yes / service</x:v>
      </x:c>
      <x:c r="K20" s="48" t="str">
        <x:v>Yes</x:v>
      </x:c>
      <x:c r="L20" s="48" t="str">
        <x:v>S33,S34</x:v>
      </x:c>
      <x:c r="M20" s="48" t="str">
        <x:v>Rough ratio across linked announcements; not a clean tariff.</x:v>
      </x:c>
      <x:c r="N20" s="48" t="str">
        <x:v>Model / rough ratio</x:v>
      </x:c>
      <x:c r="O20" s="88" t="n">
        <x:f>IF(H20=0,0,H20*5)</x:f>
        <x:v>54.54545454545455</x:v>
      </x:c>
      <x:c r="P20" s="88" t="n">
        <x:f>IF(H20=0,0,H20/(8.76*0.71))</x:f>
        <x:v>1.7539859330328174</x:v>
      </x:c>
    </x:row>
    <x:row r="21">
      <x:c r="A21" s="48" t="str">
        <x:v>Microsoft / Anthropic</x:v>
      </x:c>
      <x:c r="B21" s="48" t="str">
        <x:v>Customer AI service commitment</x:v>
      </x:c>
      <x:c r="C21" s="66" t="n">
        <x:v>1000</x:v>
      </x:c>
      <x:c r="D21" s="66"/>
      <x:c r="E21" s="70" t="n">
        <x:v>30</x:v>
      </x:c>
      <x:c r="F21" s="70"/>
      <x:c r="G21" s="70" t="n">
        <x:v>30</x:v>
      </x:c>
      <x:c r="H21" s="70"/>
      <x:c r="I21" s="100"/>
      <x:c r="J21" s="48" t="str">
        <x:v>Yes / service</x:v>
      </x:c>
      <x:c r="K21" s="48" t="str">
        <x:v>Yes</x:v>
      </x:c>
      <x:c r="L21" s="48" t="str">
        <x:v>S19</x:v>
      </x:c>
      <x:c r="M21" s="48" t="str">
        <x:v>Term undisclosed; capacity is up to 1 GW.</x:v>
      </x:c>
      <x:c r="N21" s="48" t="str">
        <x:v>Derived from disclosure</x:v>
      </x:c>
      <x:c r="O21" s="88" t="n">
        <x:f>IF(H21=0,0,H21*5)</x:f>
        <x:v>0</x:v>
      </x:c>
      <x:c r="P21" s="88" t="n">
        <x:f>IF(H21=0,0,H21/(8.76*0.71))</x:f>
        <x:v>0</x:v>
      </x:c>
    </x:row>
    <x:row r="22">
      <x:c r="A22" s="54" t="str">
        <x:v>CoreWeave backlog / contracted power</x:v>
      </x:c>
      <x:c r="B22" s="54" t="str">
        <x:v>Backlog density indicator</x:v>
      </x:c>
      <x:c r="C22" s="67" t="n">
        <x:v>3700</x:v>
      </x:c>
      <x:c r="D22" s="67"/>
      <x:c r="E22" s="71" t="n">
        <x:v>104</x:v>
      </x:c>
      <x:c r="F22" s="71"/>
      <x:c r="G22" s="71" t="n">
        <x:v>28.108108108108105</x:v>
      </x:c>
      <x:c r="H22" s="71"/>
      <x:c r="I22" s="101"/>
      <x:c r="J22" s="54" t="str">
        <x:v>Mixed</x:v>
      </x:c>
      <x:c r="K22" s="54" t="str">
        <x:v>Mixed</x:v>
      </x:c>
      <x:c r="L22" s="54" t="str">
        <x:v>S38</x:v>
      </x:c>
      <x:c r="M22" s="54" t="str">
        <x:v>Backlog spans customers, durations and service types; not a unit price.</x:v>
      </x:c>
      <x:c r="N22" s="54" t="str">
        <x:v>Model / rough ratio</x:v>
      </x:c>
      <x:c r="O22" s="89" t="n">
        <x:f>IF(H22=0,0,H22*5)</x:f>
        <x:v>0</x:v>
      </x:c>
      <x:c r="P22" s="89" t="n">
        <x:f>IF(H22=0,0,H22/(8.76*0.71))</x:f>
        <x:v>0</x:v>
      </x:c>
    </x:row>
    <x:row r="23" ht="64" customHeight="1">
      <x:c r="A23" s="406" t="str">
        <x:v>Hut 8 River Bend facility build (Google-backstopped)</x:v>
      </x:c>
      <x:c r="B23" s="407" t="str">
        <x:v>Greenfield facility capex</x:v>
      </x:c>
      <x:c r="C23" s="408" t="n">
        <x:v>245</x:v>
      </x:c>
      <x:c r="D23" s="409"/>
      <x:c r="E23" s="410" t="n">
        <x:v>2.45</x:v>
      </x:c>
      <x:c r="F23" s="410" t="n">
        <x:v>2.45</x:v>
      </x:c>
      <x:c r="G23" s="410" t="n">
        <x:v>10</x:v>
      </x:c>
      <x:c r="H23" s="410"/>
      <x:c r="I23" s="411"/>
      <x:c r="J23" s="407" t="str">
        <x:v>Facility / 1.35 PUE</x:v>
      </x:c>
      <x:c r="K23" s="407" t="str">
        <x:v>No</x:v>
      </x:c>
      <x:c r="L23" s="407" t="str">
        <x:v>S49</x:v>
      </x:c>
      <x:c r="M23" s="407" t="str">
        <x:v>Disclosed build-cost range is $9M-$11M per contracted IT MW; row uses the $10M/MW midpoint. Google subsidiary backstops the contract; Fluidstack is tenant.</x:v>
      </x:c>
      <x:c r="N23" s="407" t="str">
        <x:v>Midpoint of disclosed range</x:v>
      </x:c>
      <x:c r="O23" s="412" t="n">
        <x:v>0</x:v>
      </x:c>
      <x:c r="P23" s="413" t="n">
        <x:v>0</x:v>
      </x:c>
    </x:row>
    <x:row r="24" ht="64" customHeight="1">
      <x:c r="A24" s="421" t="str">
        <x:v>Hut 8 River Bend / Fluidstack (Google-backstopped)</x:v>
      </x:c>
      <x:c r="B24" s="316" t="str">
        <x:v>Recurring triple-net facility lease</x:v>
      </x:c>
      <x:c r="C24" s="422" t="n">
        <x:v>245</x:v>
      </x:c>
      <x:c r="D24" s="423" t="n">
        <x:v>15</x:v>
      </x:c>
      <x:c r="E24" s="424" t="n">
        <x:v>7</x:v>
      </x:c>
      <x:c r="F24" s="424"/>
      <x:c r="G24" s="424" t="n">
        <x:v>28.571428571428573</x:v>
      </x:c>
      <x:c r="H24" s="424" t="n">
        <x:v>1.9047619047619049</x:v>
      </x:c>
      <x:c r="I24" s="425" t="n">
        <x:v>158.73015873015876</x:v>
      </x:c>
      <x:c r="J24" s="316" t="str">
        <x:v>Triple-net / pass-throughs</x:v>
      </x:c>
      <x:c r="K24" s="316" t="str">
        <x:v>No</x:v>
      </x:c>
      <x:c r="L24" s="316" t="str">
        <x:v>S49</x:v>
      </x:c>
      <x:c r="M24" s="316" t="str">
        <x:v>Nominal 15-year base-term value with 3% escalator. Google subsidiary backstop rather than direct Alphabet tenancy; hardware excluded.</x:v>
      </x:c>
      <x:c r="N24" s="316" t="str">
        <x:v>Derived from disclosure</x:v>
      </x:c>
      <x:c r="O24" s="426" t="n">
        <x:v>9.523809523809524</x:v>
      </x:c>
      <x:c r="P24" s="427" t="n">
        <x:v>0.3062515121168411</x:v>
      </x:c>
    </x:row>
  </x:sheetData>
  <x:mergeCells>
    <x:mergeCell ref="A1:P2"/>
    <x:mergeCell ref="A3:P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6" hidden="0" customWidth="1"/>
    <x:col min="4" max="4" width="29" hidden="0" customWidth="1"/>
    <x:col min="5" max="5" width="14" hidden="0" customWidth="1"/>
    <x:col min="6" max="6" width="30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5" hidden="0" customWidth="1"/>
  </x:cols>
  <x:sheetData>
    <x:row r="1">
      <x:c r="A1" s="5" t="str">
        <x:v>One-GW economics and cost curves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3" t="str">
        <x:v>Published base: one IT GW of GB200-class capacity, $37.883B upfront and $8.514B annual TCO at five-year IT life. Sensitivities hold annual-TCO anchors constant. S03,S05-S11.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6">
      <x:c r="A6" s="20" t="str">
        <x:v>Scenario assumptions</x:v>
      </x:c>
      <x:c r="B6" s="20"/>
      <x:c r="C6" s="20"/>
      <x:c r="D6" s="20"/>
      <x:c r="F6" s="20" t="str">
        <x:v>Derived unit economics</x:v>
      </x:c>
      <x:c r="G6" s="20"/>
      <x:c r="H6" s="20"/>
      <x:c r="I6" s="20"/>
    </x:row>
    <x:row r="7">
      <x:c r="A7" s="28" t="str">
        <x:v>Assumption</x:v>
      </x:c>
      <x:c r="B7" s="28" t="str">
        <x:v>Value</x:v>
      </x:c>
      <x:c r="C7" s="28" t="str">
        <x:v>Units</x:v>
      </x:c>
      <x:c r="D7" s="28" t="str">
        <x:v>Source / note</x:v>
      </x:c>
      <x:c r="F7" s="28" t="str">
        <x:v>Metric</x:v>
      </x:c>
      <x:c r="G7" s="28" t="str">
        <x:v>Formula result</x:v>
      </x:c>
      <x:c r="H7" s="28" t="str">
        <x:v>Units</x:v>
      </x:c>
      <x:c r="I7" s="28" t="str">
        <x:v>Interpretation</x:v>
      </x:c>
    </x:row>
    <x:row r="8">
      <x:c r="A8" s="39" t="str">
        <x:v>IT capacity</x:v>
      </x:c>
      <x:c r="B8" s="50" t="n">
        <x:v>1</x:v>
      </x:c>
      <x:c r="C8" s="39" t="str">
        <x:v>GW</x:v>
      </x:c>
      <x:c r="D8" s="39" t="str">
        <x:v>Model</x:v>
      </x:c>
      <x:c r="F8" s="39" t="str">
        <x:v>Utilized IT energy</x:v>
      </x:c>
      <x:c r="G8" s="74" t="n">
        <x:f>B8*8.76*B10</x:f>
        <x:v>6.2196</x:v>
      </x:c>
      <x:c r="H8" s="39" t="str">
        <x:v>bn kWh</x:v>
      </x:c>
      <x:c r="I8" s="39" t="str">
        <x:v>Denominator</x:v>
      </x:c>
    </x:row>
    <x:row r="9">
      <x:c r="A9" s="39" t="str">
        <x:v>PUE</x:v>
      </x:c>
      <x:c r="B9" s="50" t="n">
        <x:v>1.2</x:v>
      </x:c>
      <x:c r="C9" s="39" t="str">
        <x:v>x</x:v>
      </x:c>
      <x:c r="D9" s="39" t="str">
        <x:v>Model</x:v>
      </x:c>
      <x:c r="F9" s="39" t="str">
        <x:v>Annual TCO</x:v>
      </x:c>
      <x:c r="G9" s="74" t="n">
        <x:f>C29</x:f>
        <x:v>8.513999999999998</x:v>
      </x:c>
      <x:c r="H9" s="39" t="str">
        <x:v>$B/year</x:v>
      </x:c>
      <x:c r="I9" s="39" t="str">
        <x:v>Five-year base</x:v>
      </x:c>
    </x:row>
    <x:row r="10">
      <x:c r="A10" s="39" t="str">
        <x:v>Utilization</x:v>
      </x:c>
      <x:c r="B10" s="104" t="n">
        <x:v>0.71</x:v>
      </x:c>
      <x:c r="C10" s="39" t="str">
        <x:v>%</x:v>
      </x:c>
      <x:c r="D10" s="39" t="str">
        <x:v>S01 typical 60%-80%</x:v>
      </x:c>
      <x:c r="F10" s="39" t="str">
        <x:v>Cost / utilized IT-kWh</x:v>
      </x:c>
      <x:c r="G10" s="88" t="n">
        <x:f>G9/(8.76*B8*B10)</x:f>
        <x:v>1.3688983214354618</x:v>
      </x:c>
      <x:c r="H10" s="39" t="str">
        <x:v>$/kWh</x:v>
      </x:c>
      <x:c r="I10" s="39" t="str">
        <x:v>Break-even before corporate overhead</x:v>
      </x:c>
    </x:row>
    <x:row r="11">
      <x:c r="A11" s="39" t="str">
        <x:v>Electricity rate</x:v>
      </x:c>
      <x:c r="B11" s="106" t="n">
        <x:v>0.0834</x:v>
      </x:c>
      <x:c r="C11" s="39" t="str">
        <x:v>$/kWh</x:v>
      </x:c>
      <x:c r="D11" s="39" t="str">
        <x:v>Scenario</x:v>
      </x:c>
      <x:c r="F11" s="39" t="str">
        <x:v>Cost / H100e-hour</x:v>
      </x:c>
      <x:c r="G11" s="88" t="n">
        <x:f>G9*1000000000/(B13*8760*B10)</x:f>
        <x:v>0.993318251977619</x:v>
      </x:c>
      <x:c r="H11" s="39" t="str">
        <x:v>$/H100e-hour</x:v>
      </x:c>
      <x:c r="I11" s="39" t="str">
        <x:v>GB200 density model</x:v>
      </x:c>
    </x:row>
    <x:row r="12">
      <x:c r="A12" s="39" t="str">
        <x:v>IT asset life</x:v>
      </x:c>
      <x:c r="B12" s="66" t="n">
        <x:v>5</x:v>
      </x:c>
      <x:c r="C12" s="39" t="str">
        <x:v>years</x:v>
      </x:c>
      <x:c r="D12" s="39" t="str">
        <x:v>S03 base</x:v>
      </x:c>
      <x:c r="F12" s="40" t="str">
        <x:v>Price for 25% operating margin</x:v>
      </x:c>
      <x:c r="G12" s="89" t="n">
        <x:f>G11/(1-25%)</x:f>
        <x:v>1.3244243359701586</x:v>
      </x:c>
      <x:c r="H12" s="40" t="str">
        <x:v>$/H100e-hour</x:v>
      </x:c>
      <x:c r="I12" s="40" t="str">
        <x:v>Before SG&amp;A and taxes</x:v>
      </x:c>
    </x:row>
    <x:row r="13">
      <x:c r="A13" s="40" t="str">
        <x:v>GB200 H100e / IT GW</x:v>
      </x:c>
      <x:c r="B13" s="108" t="n">
        <x:f>Normalization!I18</x:f>
        <x:v>1378106.481694152</x:v>
      </x:c>
      <x:c r="C13" s="40" t="str">
        <x:v>H100e</x:v>
      </x:c>
      <x:c r="D13" s="40" t="str">
        <x:v>Linked from Normalization</x:v>
      </x:c>
    </x:row>
    <x:row r="16">
      <x:c r="A16" s="20" t="str">
        <x:v>Published one-GW cost breakdown</x:v>
      </x:c>
      <x:c r="B16" s="20"/>
      <x:c r="C16" s="20"/>
      <x:c r="D16" s="20"/>
      <x:c r="E16" s="20"/>
      <x:c r="G16" s="20" t="str">
        <x:v>Cost per utilized IT-kWh: utilization x IT life</x:v>
      </x:c>
      <x:c r="H16" s="20"/>
      <x:c r="I16" s="20"/>
      <x:c r="J16" s="20"/>
      <x:c r="K16" s="20"/>
      <x:c r="L16" s="20"/>
    </x:row>
    <x:row r="17">
      <x:c r="A17" s="28" t="str">
        <x:v>Component</x:v>
      </x:c>
      <x:c r="B17" s="28" t="str">
        <x:v>Upfront ($B)</x:v>
      </x:c>
      <x:c r="C17" s="28" t="str">
        <x:v>Annualized / opex ($B)</x:v>
      </x:c>
      <x:c r="D17" s="28" t="str">
        <x:v>Classification</x:v>
      </x:c>
      <x:c r="E17" s="28" t="str">
        <x:v>Source</x:v>
      </x:c>
      <x:c r="G17" s="28" t="str">
        <x:v>Utilization</x:v>
      </x:c>
      <x:c r="H17" s="28" t="str">
        <x:v>3-year life</x:v>
      </x:c>
      <x:c r="I17" s="28" t="str">
        <x:v>5-year life</x:v>
      </x:c>
      <x:c r="J17" s="28" t="str">
        <x:v>7-year life</x:v>
      </x:c>
      <x:c r="K17" s="28" t="str">
        <x:v>H100e-hour (5-year)</x:v>
      </x:c>
      <x:c r="L17" s="28" t="str">
        <x:v>Source</x:v>
      </x:c>
    </x:row>
    <x:row r="18">
      <x:c r="A18" s="39" t="str">
        <x:v>Servers</x:v>
      </x:c>
      <x:c r="B18" s="70" t="n">
        <x:v>21.188</x:v>
      </x:c>
      <x:c r="C18" s="70" t="n">
        <x:v>5.021</x:v>
      </x:c>
      <x:c r="D18" s="39" t="str">
        <x:v>IT capex</x:v>
      </x:c>
      <x:c r="E18" s="39" t="str">
        <x:v>S03</x:v>
      </x:c>
      <x:c r="G18" s="104" t="n">
        <x:v>0.5</x:v>
      </x:c>
      <x:c r="H18" s="88" t="n">
        <x:f>12/(8.76*G18)</x:f>
        <x:v>2.73972602739726</x:v>
      </x:c>
      <x:c r="I18" s="88" t="n">
        <x:f>8.514/(8.76*G18)</x:f>
        <x:v>1.9438356164383561</x:v>
      </x:c>
      <x:c r="J18" s="88" t="n">
        <x:f>7/(8.76*G18)</x:f>
        <x:v>1.5981735159817352</x:v>
      </x:c>
      <x:c r="K18" s="88" t="n">
        <x:f>8.514*1000000000/($B$13*8760*G18)</x:f>
        <x:v>1.4105119178082193</x:v>
      </x:c>
      <x:c r="L18" s="39" t="str">
        <x:v>S03; Model</x:v>
      </x:c>
    </x:row>
    <x:row r="19">
      <x:c r="A19" s="39" t="str">
        <x:v>Facility</x:v>
      </x:c>
      <x:c r="B19" s="70" t="n">
        <x:v>11.433</x:v>
      </x:c>
      <x:c r="C19" s="70" t="n">
        <x:v>1.387</x:v>
      </x:c>
      <x:c r="D19" s="39" t="str">
        <x:v>Facility capex</x:v>
      </x:c>
      <x:c r="E19" s="39" t="str">
        <x:v>S03</x:v>
      </x:c>
      <x:c r="G19" s="104" t="n">
        <x:v>0.6</x:v>
      </x:c>
      <x:c r="H19" s="88" t="n">
        <x:f>12/(8.76*G19)</x:f>
        <x:v>2.2831050228310503</x:v>
      </x:c>
      <x:c r="I19" s="88" t="n">
        <x:f>8.514/(8.76*G19)</x:f>
        <x:v>1.6198630136986303</x:v>
      </x:c>
      <x:c r="J19" s="88" t="n">
        <x:f>7/(8.76*G19)</x:f>
        <x:v>1.3318112633181127</x:v>
      </x:c>
      <x:c r="K19" s="88" t="n">
        <x:f>8.514*1000000000/($B$13*8760*G19)</x:f>
        <x:v>1.1754265981735161</x:v>
      </x:c>
      <x:c r="L19" s="39" t="str">
        <x:v>S03; Model</x:v>
      </x:c>
    </x:row>
    <x:row r="20">
      <x:c r="A20" s="39" t="str">
        <x:v>Network</x:v>
      </x:c>
      <x:c r="B20" s="70" t="n">
        <x:v>4.925</x:v>
      </x:c>
      <x:c r="C20" s="70" t="n">
        <x:v>1.167</x:v>
      </x:c>
      <x:c r="D20" s="39" t="str">
        <x:v>IT/network capex</x:v>
      </x:c>
      <x:c r="E20" s="39" t="str">
        <x:v>S03</x:v>
      </x:c>
      <x:c r="G20" s="104" t="n">
        <x:v>0.71</x:v>
      </x:c>
      <x:c r="H20" s="88" t="n">
        <x:f>12/(8.76*G20)</x:f>
        <x:v>1.929384526336099</x:v>
      </x:c>
      <x:c r="I20" s="88" t="n">
        <x:f>8.514/(8.76*G20)</x:f>
        <x:v>1.368898321435462</x:v>
      </x:c>
      <x:c r="J20" s="88" t="n">
        <x:f>7/(8.76*G20)</x:f>
        <x:v>1.1254743070293909</x:v>
      </x:c>
      <x:c r="K20" s="88" t="n">
        <x:f>8.514*1000000000/($B$13*8760*G20)</x:f>
        <x:v>0.9933182519776192</x:v>
      </x:c>
      <x:c r="L20" s="39" t="str">
        <x:v>S03; Model</x:v>
      </x:c>
    </x:row>
    <x:row r="21">
      <x:c r="A21" s="39" t="str">
        <x:v>Land</x:v>
      </x:c>
      <x:c r="B21" s="70" t="n">
        <x:v>0.172</x:v>
      </x:c>
      <x:c r="C21" s="70" t="n">
        <x:v>0.013</x:v>
      </x:c>
      <x:c r="D21" s="39" t="str">
        <x:v>Facility capex</x:v>
      </x:c>
      <x:c r="E21" s="39" t="str">
        <x:v>S03</x:v>
      </x:c>
      <x:c r="G21" s="104" t="n">
        <x:v>0.8</x:v>
      </x:c>
      <x:c r="H21" s="88" t="n">
        <x:f>12/(8.76*G21)</x:f>
        <x:v>1.7123287671232876</x:v>
      </x:c>
      <x:c r="I21" s="88" t="n">
        <x:f>8.514/(8.76*G21)</x:f>
        <x:v>1.2148972602739725</x:v>
      </x:c>
      <x:c r="J21" s="88" t="n">
        <x:f>7/(8.76*G21)</x:f>
        <x:v>0.9988584474885844</x:v>
      </x:c>
      <x:c r="K21" s="88" t="n">
        <x:f>8.514*1000000000/($B$13*8760*G21)</x:f>
        <x:v>0.8815699486301369</x:v>
      </x:c>
      <x:c r="L21" s="39" t="str">
        <x:v>S03; Model</x:v>
      </x:c>
    </x:row>
    <x:row r="22">
      <x:c r="A22" s="39" t="str">
        <x:v>Utility interconnect</x:v>
      </x:c>
      <x:c r="B22" s="70" t="n">
        <x:v>0.164</x:v>
      </x:c>
      <x:c r="C22" s="70" t="n">
        <x:v>0.02</x:v>
      </x:c>
      <x:c r="D22" s="39" t="str">
        <x:v>Facility capex</x:v>
      </x:c>
      <x:c r="E22" s="39" t="str">
        <x:v>S03</x:v>
      </x:c>
      <x:c r="G22" s="114" t="n">
        <x:v>0.9</x:v>
      </x:c>
      <x:c r="H22" s="89" t="n">
        <x:f>12/(8.76*G22)</x:f>
        <x:v>1.5220700152207</x:v>
      </x:c>
      <x:c r="I22" s="89" t="n">
        <x:f>8.514/(8.76*G22)</x:f>
        <x:v>1.0799086757990866</x:v>
      </x:c>
      <x:c r="J22" s="89" t="n">
        <x:f>7/(8.76*G22)</x:f>
        <x:v>0.8878741755454084</x:v>
      </x:c>
      <x:c r="K22" s="89" t="n">
        <x:f>8.514*1000000000/($B$13*8760*G22)</x:f>
        <x:v>0.7836177321156773</x:v>
      </x:c>
      <x:c r="L22" s="40" t="str">
        <x:v>S03; Model</x:v>
      </x:c>
    </x:row>
    <x:row r="23">
      <x:c r="A23" s="39" t="str">
        <x:v>Energy</x:v>
      </x:c>
      <x:c r="B23" s="70" t="n">
        <x:v>0</x:v>
      </x:c>
      <x:c r="C23" s="70" t="n">
        <x:v>0.594</x:v>
      </x:c>
      <x:c r="D23" s="39" t="str">
        <x:v>Opex</x:v>
      </x:c>
      <x:c r="E23" s="39" t="str">
        <x:v>S03</x:v>
      </x:c>
    </x:row>
    <x:row r="24">
      <x:c r="A24" s="39" t="str">
        <x:v>Property / other taxes</x:v>
      </x:c>
      <x:c r="B24" s="70" t="n">
        <x:v>0</x:v>
      </x:c>
      <x:c r="C24" s="70" t="n">
        <x:v>0.143</x:v>
      </x:c>
      <x:c r="D24" s="39" t="str">
        <x:v>Opex</x:v>
      </x:c>
      <x:c r="E24" s="39" t="str">
        <x:v>S03</x:v>
      </x:c>
    </x:row>
    <x:row r="25">
      <x:c r="A25" s="39" t="str">
        <x:v>Maintenance</x:v>
      </x:c>
      <x:c r="B25" s="70" t="n">
        <x:v>0</x:v>
      </x:c>
      <x:c r="C25" s="70" t="n">
        <x:v>0.12</x:v>
      </x:c>
      <x:c r="D25" s="39" t="str">
        <x:v>Opex</x:v>
      </x:c>
      <x:c r="E25" s="39" t="str">
        <x:v>S03</x:v>
      </x:c>
    </x:row>
    <x:row r="26">
      <x:c r="A26" s="39" t="str">
        <x:v>Labor</x:v>
      </x:c>
      <x:c r="B26" s="70" t="n">
        <x:v>0</x:v>
      </x:c>
      <x:c r="C26" s="70" t="n">
        <x:v>0.04</x:v>
      </x:c>
      <x:c r="D26" s="39" t="str">
        <x:v>Opex</x:v>
      </x:c>
      <x:c r="E26" s="39" t="str">
        <x:v>S03</x:v>
      </x:c>
    </x:row>
    <x:row r="27">
      <x:c r="A27" s="39" t="str">
        <x:v>Water</x:v>
      </x:c>
      <x:c r="B27" s="70" t="n">
        <x:v>0</x:v>
      </x:c>
      <x:c r="C27" s="70" t="n">
        <x:v>0.006</x:v>
      </x:c>
      <x:c r="D27" s="39" t="str">
        <x:v>Opex</x:v>
      </x:c>
      <x:c r="E27" s="39" t="str">
        <x:v>S03</x:v>
      </x:c>
    </x:row>
    <x:row r="28">
      <x:c r="A28" s="39" t="str">
        <x:v>Other / rounding</x:v>
      </x:c>
      <x:c r="B28" s="70" t="n">
        <x:v>0</x:v>
      </x:c>
      <x:c r="C28" s="70" t="n">
        <x:v>0.003</x:v>
      </x:c>
      <x:c r="D28" s="39" t="str">
        <x:v>Opex</x:v>
      </x:c>
      <x:c r="E28" s="39" t="str">
        <x:v>Reconciliation</x:v>
      </x:c>
    </x:row>
    <x:row r="29">
      <x:c r="A29" s="110" t="str">
        <x:v>Total</x:v>
      </x:c>
      <x:c r="B29" s="112" t="n">
        <x:f>SUM(B18:B28)</x:f>
        <x:v>37.88199999999999</x:v>
      </x:c>
      <x:c r="C29" s="112" t="n">
        <x:f>SUM(C18:C28)</x:f>
        <x:v>8.513999999999998</x:v>
      </x:c>
      <x:c r="D29" s="110" t="str">
        <x:v>Published / reconciled</x:v>
      </x:c>
      <x:c r="E29" s="110" t="str">
        <x:v>S03</x:v>
      </x:c>
    </x:row>
    <x:row r="33">
      <x:c r="A33" s="20" t="str">
        <x:v>Power-price sensitivity at 71% utilization and 1.20 PUE</x:v>
      </x:c>
      <x:c r="B33" s="20"/>
      <x:c r="C33" s="20"/>
      <x:c r="D33" s="20"/>
      <x:c r="E33" s="20"/>
      <x:c r="F33" s="20"/>
    </x:row>
    <x:row r="34">
      <x:c r="A34" s="28" t="str">
        <x:v>Electricity $/kWh</x:v>
      </x:c>
      <x:c r="B34" s="28" t="str">
        <x:v>Annual energy ($B)</x:v>
      </x:c>
      <x:c r="C34" s="28" t="str">
        <x:v>Total annual TCO ($B)</x:v>
      </x:c>
      <x:c r="D34" s="28" t="str">
        <x:v>Cost / used IT-kWh</x:v>
      </x:c>
      <x:c r="E34" s="28" t="str">
        <x:v>Cost / H100e-hour</x:v>
      </x:c>
      <x:c r="F34" s="28" t="str">
        <x:v>Source</x:v>
      </x:c>
    </x:row>
    <x:row r="35">
      <x:c r="A35" s="106" t="n">
        <x:v>0.05</x:v>
      </x:c>
      <x:c r="B35" s="88" t="n">
        <x:f>$B$8*$B$9*8.76*$B$10*A35</x:f>
        <x:v>0.37317599999999995</x:v>
      </x:c>
      <x:c r="C35" s="88" t="n">
        <x:f>8.514-0.594+B35</x:f>
        <x:v>8.293175999999999</x:v>
      </x:c>
      <x:c r="D35" s="88" t="n">
        <x:f>C35/(8.76*$B$8*$B$10)</x:f>
        <x:v>1.3333937873818251</x:v>
      </x:c>
      <x:c r="E35" s="88" t="n">
        <x:f>C35*1000000000/($B$13*8760*$B$10)</x:f>
        <x:v>0.9675549785838319</x:v>
      </x:c>
      <x:c r="F35" s="39" t="str">
        <x:v>S03; Model</x:v>
      </x:c>
    </x:row>
    <x:row r="36">
      <x:c r="A36" s="106" t="n">
        <x:v>0.0834</x:v>
      </x:c>
      <x:c r="B36" s="88" t="n">
        <x:f>$B$8*$B$9*8.76*$B$10*A36</x:f>
        <x:v>0.622457568</x:v>
      </x:c>
      <x:c r="C36" s="88" t="n">
        <x:f>8.514-0.594+B36</x:f>
        <x:v>8.542457568</x:v>
      </x:c>
      <x:c r="D36" s="88" t="n">
        <x:f>C36/(8.76*$B$8*$B$10)</x:f>
        <x:v>1.3734737873818252</x:v>
      </x:c>
      <x:c r="E36" s="88" t="n">
        <x:f>C36*1000000000/($B$13*8760*$B$10)</x:f>
        <x:v>0.996638362583832</x:v>
      </x:c>
      <x:c r="F36" s="39" t="str">
        <x:v>S03; Model</x:v>
      </x:c>
    </x:row>
    <x:row r="37">
      <x:c r="A37" s="106" t="n">
        <x:v>0.12</x:v>
      </x:c>
      <x:c r="B37" s="88" t="n">
        <x:f>$B$8*$B$9*8.76*$B$10*A37</x:f>
        <x:v>0.8956223999999998</x:v>
      </x:c>
      <x:c r="C37" s="88" t="n">
        <x:f>8.514-0.594+B37</x:f>
        <x:v>8.815622399999999</x:v>
      </x:c>
      <x:c r="D37" s="88" t="n">
        <x:f>C37/(8.76*$B$8*$B$10)</x:f>
        <x:v>1.417393787381825</x:v>
      </x:c>
      <x:c r="E37" s="88" t="n">
        <x:f>C37*1000000000/($B$13*8760*$B$10)</x:f>
        <x:v>1.0285081785838317</x:v>
      </x:c>
      <x:c r="F37" s="39" t="str">
        <x:v>S03; Model</x:v>
      </x:c>
    </x:row>
    <x:row r="38">
      <x:c r="A38" s="116" t="n">
        <x:v>0.2</x:v>
      </x:c>
      <x:c r="B38" s="89" t="n">
        <x:f>$B$8*$B$9*8.76*$B$10*A38</x:f>
        <x:v>1.4927039999999998</x:v>
      </x:c>
      <x:c r="C38" s="89" t="n">
        <x:f>8.514-0.594+B38</x:f>
        <x:v>9.412703999999998</x:v>
      </x:c>
      <x:c r="D38" s="89" t="n">
        <x:f>C38/(8.76*$B$8*$B$10)</x:f>
        <x:v>1.5133937873818248</x:v>
      </x:c>
      <x:c r="E38" s="89" t="n">
        <x:f>C38*1000000000/($B$13*8760*$B$10)</x:f>
        <x:v>1.0981689785838318</x:v>
      </x:c>
      <x:c r="F38" s="40" t="str">
        <x:v>S03; Model</x:v>
      </x:c>
    </x:row>
  </x:sheetData>
  <x:mergeCells>
    <x:mergeCell ref="A1:L2"/>
    <x:mergeCell ref="A3:L4"/>
    <x:mergeCell ref="A6:D6"/>
    <x:mergeCell ref="F6:I6"/>
    <x:mergeCell ref="A16:E16"/>
    <x:mergeCell ref="G16:L16"/>
    <x:mergeCell ref="A33:F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11" hidden="0" customWidth="1"/>
    <x:col min="4" max="4" width="15" hidden="0" customWidth="1"/>
    <x:col min="5" max="5" width="10" hidden="0" customWidth="1"/>
    <x:col min="6" max="6" width="13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13" hidden="0" customWidth="1"/>
    <x:col min="16" max="16" width="16" hidden="0" customWidth="1"/>
    <x:col min="17" max="17" width="15" hidden="0" customWidth="1"/>
    <x:col min="18" max="18" width="25" hidden="0" customWidth="1"/>
    <x:col min="19" max="19" width="15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  <x:col min="25" max="25" width="14" hidden="0" customWidth="1"/>
    <x:col min="26" max="26" width="14" hidden="0" customWidth="1"/>
    <x:col min="27" max="27" width="36" hidden="0" customWidth="1"/>
    <x:col min="28" max="28" width="42" hidden="0" customWidth="1"/>
  </x:cols>
  <x:sheetData>
    <x:row r="1">
      <x:c r="A1" s="5" t="str">
        <x:v>Equity-market lens as of 31 August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13" t="str">
        <x:v>Whole-company valuation ratios, not appraisals of data-center assets. RPO/backlog is broader than AI and obligations include non-AI categories. S48 and issuer filings.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</x:row>
    <x:row r="6" ht="58" customHeight="1">
      <x:c r="A6" s="28" t="str">
        <x:v>Company</x:v>
      </x:c>
      <x:c r="B6" s="28" t="str">
        <x:v>Ticker</x:v>
      </x:c>
      <x:c r="C6" s="28" t="str">
        <x:v>Close ($)</x:v>
      </x:c>
      <x:c r="D6" s="28" t="str">
        <x:v>Market cap ($B)</x:v>
      </x:c>
      <x:c r="E6" s="28" t="str">
        <x:v>P/E</x:v>
      </x:c>
      <x:c r="F6" s="28" t="str">
        <x:v>Current IT GW</x:v>
      </x:c>
      <x:c r="G6" s="28" t="str">
        <x:v>Current H100e (M)</x:v>
      </x:c>
      <x:c r="H6" s="28" t="str">
        <x:v>MCap / IT GW ($B)</x:v>
      </x:c>
      <x:c r="I6" s="28" t="str">
        <x:v>MCap / H100e ($)</x:v>
      </x:c>
      <x:c r="J6" s="28" t="str">
        <x:v>One installed IT GW / MCap</x:v>
      </x:c>
      <x:c r="K6" s="28" t="str">
        <x:v>Uncommenced leases ($B)</x:v>
      </x:c>
      <x:c r="L6" s="28" t="str">
        <x:v>Uncommenced / MCap</x:v>
      </x:c>
      <x:c r="M6" s="28" t="str">
        <x:v>Commitments / obligations ($B)</x:v>
      </x:c>
      <x:c r="N6" s="28" t="str">
        <x:v>Commitments / MCap</x:v>
      </x:c>
      <x:c r="O6" s="28" t="str">
        <x:v>Capex / OCF</x:v>
      </x:c>
      <x:c r="P6" s="28" t="str">
        <x:v>RPO / backlog ($B)</x:v>
      </x:c>
      <x:c r="Q6" s="28" t="str">
        <x:v>RPO / MCap</x:v>
      </x:c>
      <x:c r="R6" s="28" t="str">
        <x:v>Source IDs</x:v>
      </x:c>
      <x:c r="S6" s="333" t="str">
        <x:v>Comparable capex ($B / IT GW)</x:v>
      </x:c>
      <x:c r="T6" s="334" t="str">
        <x:v>Annual TCO ($B / IT GW-year)</x:v>
      </x:c>
      <x:c r="U6" s="334" t="str">
        <x:v>Current fleet replacement ($B)</x:v>
      </x:c>
      <x:c r="V6" s="334" t="str">
        <x:v>Current annual TCO ($B/year)</x:v>
      </x:c>
      <x:c r="W6" s="334" t="str">
        <x:v>Future indicator full-stack equivalent ($B)</x:v>
      </x:c>
      <x:c r="X6" s="334" t="str">
        <x:v>Current replacement / MCap</x:v>
      </x:c>
      <x:c r="Y6" s="334" t="str">
        <x:v>Future indicator / MCap</x:v>
      </x:c>
      <x:c r="Z6" s="334" t="str">
        <x:v>Cost / H100e-hour ($)</x:v>
      </x:c>
      <x:c r="AA6" s="334" t="str">
        <x:v>Direct observed cost / GW</x:v>
      </x:c>
      <x:c r="AB6" s="335" t="str">
        <x:v>Observed layer / source</x:v>
      </x:c>
    </x:row>
    <x:row r="7" ht="58" customHeight="1">
      <x:c r="A7" s="48" t="str">
        <x:v>Amazon / AWS</x:v>
      </x:c>
      <x:c r="B7" s="48" t="str">
        <x:v>AMZN</x:v>
      </x:c>
      <x:c r="C7" s="70" t="n">
        <x:v>259.77</x:v>
      </x:c>
      <x:c r="D7" s="70" t="n">
        <x:v>2832.27231</x:v>
      </x:c>
      <x:c r="E7" s="118" t="n">
        <x:v>20.8986323411</x:v>
      </x:c>
      <x:c r="F7" s="84" t="n">
        <x:f>Company_Summary!K7</x:f>
        <x:v>2.6864</x:v>
      </x:c>
      <x:c r="G7" s="84" t="n">
        <x:f>Company_Summary!L7</x:f>
        <x:v>2.460403</x:v>
      </x:c>
      <x:c r="H7" s="74" t="n">
        <x:f>IF(F7=0,0,D7/F7)</x:f>
        <x:v>1054.3002940738534</x:v>
      </x:c>
      <x:c r="I7" s="92" t="n">
        <x:f>IF(G7=0,0,D7*1000/G7)</x:f>
        <x:v>1151141.6259856618</x:v>
      </x:c>
      <x:c r="J7" s="96" t="n">
        <x:f>37.883/D7</x:f>
        <x:v>0.0133754794220334</x:v>
      </x:c>
      <x:c r="K7" s="70" t="n">
        <x:v>137.214</x:v>
      </x:c>
      <x:c r="L7" s="96" t="n">
        <x:f>IF(K7=0,0,K7/D7)</x:f>
        <x:v>0.04844661281880767</x:v>
      </x:c>
      <x:c r="M7" s="70" t="n">
        <x:v>650.034</x:v>
      </x:c>
      <x:c r="N7" s="104" t="n">
        <x:f>IF(M7=0,0,M7/D7)</x:f>
        <x:v>0.2295097112325333</x:v>
      </x:c>
      <x:c r="O7" s="104" t="n">
        <x:v>1.378</x:v>
      </x:c>
      <x:c r="P7" s="70" t="n">
        <x:v>496</x:v>
      </x:c>
      <x:c r="Q7" s="96" t="n">
        <x:f>IF(P7=0,0,P7/D7)</x:f>
        <x:v>0.17512440391015935</x:v>
      </x:c>
      <x:c r="R7" s="39" t="str">
        <x:v>S48; issuer filing</x:v>
      </x:c>
      <x:c r="S7" s="387" t="n">
        <x:f>Company_Summary!Q7</x:f>
        <x:v>37.883</x:v>
      </x:c>
      <x:c r="T7" s="373" t="n">
        <x:f>Company_Summary!R7</x:f>
        <x:v>8.514</x:v>
      </x:c>
      <x:c r="U7" s="373" t="n">
        <x:f>Company_Summary!S7</x:f>
        <x:v>101.7688912</x:v>
      </x:c>
      <x:c r="V7" s="373" t="n">
        <x:f>Company_Summary!T7</x:f>
        <x:v>22.8720096</x:v>
      </x:c>
      <x:c r="W7" s="373" t="n">
        <x:f>Company_Summary!U7</x:f>
        <x:v>189.41500000000002</x:v>
      </x:c>
      <x:c r="X7" s="376" t="n">
        <x:f>Company_Summary!X7</x:f>
        <x:v>0.03593188791935052</x:v>
      </x:c>
      <x:c r="Y7" s="376" t="n">
        <x:f>Company_Summary!Y7</x:f>
        <x:v>0.066877397110167</x:v>
      </x:c>
      <x:c r="Z7" s="375" t="n">
        <x:f>Company_Summary!W7</x:f>
        <x:v>1.4946366309520127</x:v>
      </x:c>
      <x:c r="AA7" s="388" t="str">
        <x:f>Company_Summary!Z7</x:f>
        <x:v>$7.81B/IT-GW campus capex; $2.00B/IT-GW-year customer service</x:v>
      </x:c>
      <x:c r="AB7" s="389" t="str">
        <x:f>Company_Summary!AA7</x:f>
        <x:v>Campus infrastructure + customer service [S24,S26; Model]</x:v>
      </x:c>
    </x:row>
    <x:row r="8" ht="58" customHeight="1">
      <x:c r="A8" s="48" t="str">
        <x:v>Microsoft</x:v>
      </x:c>
      <x:c r="B8" s="48" t="str">
        <x:v>MSFT</x:v>
      </x:c>
      <x:c r="C8" s="70" t="n">
        <x:v>507.29</x:v>
      </x:c>
      <x:c r="D8" s="70" t="n">
        <x:v>3776.77405</x:v>
      </x:c>
      <x:c r="E8" s="118" t="n">
        <x:v>30.1958333333</x:v>
      </x:c>
      <x:c r="F8" s="84" t="n">
        <x:f>Company_Summary!K8</x:f>
        <x:v>3.304</x:v>
      </x:c>
      <x:c r="G8" s="84" t="n">
        <x:f>Company_Summary!L8</x:f>
        <x:v>3.504457</x:v>
      </x:c>
      <x:c r="H8" s="74" t="n">
        <x:f>IF(F8=0,0,D8/F8)</x:f>
        <x:v>1143.0914194915256</x:v>
      </x:c>
      <x:c r="I8" s="92" t="n">
        <x:f>IF(G8=0,0,D8*1000/G8)</x:f>
        <x:v>1077705.918491795</x:v>
      </x:c>
      <x:c r="J8" s="96" t="n">
        <x:f>37.883/D8</x:f>
        <x:v>0.010030517976048899</x:v>
      </x:c>
      <x:c r="K8" s="70" t="n">
        <x:v>329.1</x:v>
      </x:c>
      <x:c r="L8" s="96" t="n">
        <x:f>IF(K8=0,0,K8/D8)</x:f>
        <x:v>0.08713785777044301</x:v>
      </x:c>
      <x:c r="M8" s="70" t="n">
        <x:v>743.821</x:v>
      </x:c>
      <x:c r="N8" s="104" t="n">
        <x:f>IF(M8=0,0,M8/D8)</x:f>
        <x:v>0.196946121253931</x:v>
      </x:c>
      <x:c r="O8" s="104" t="n">
        <x:v>0.634</x:v>
      </x:c>
      <x:c r="P8" s="70" t="n">
        <x:v>684</x:v>
      </x:c>
      <x:c r="Q8" s="96" t="n">
        <x:f>IF(P8=0,0,P8/D8)</x:f>
        <x:v>0.18110694231231544</x:v>
      </x:c>
      <x:c r="R8" s="39" t="str">
        <x:v>S48; issuer filing</x:v>
      </x:c>
      <x:c r="S8" s="393" t="n">
        <x:f>Company_Summary!Q8</x:f>
        <x:v>37.883</x:v>
      </x:c>
      <x:c r="T8" s="383" t="n">
        <x:f>Company_Summary!R8</x:f>
        <x:v>8.514</x:v>
      </x:c>
      <x:c r="U8" s="383" t="n">
        <x:f>Company_Summary!S8</x:f>
        <x:v>125.165432</x:v>
      </x:c>
      <x:c r="V8" s="383" t="n">
        <x:f>Company_Summary!T8</x:f>
        <x:v>28.130255999999996</x:v>
      </x:c>
      <x:c r="W8" s="383" t="n">
        <x:f>Company_Summary!U8</x:f>
        <x:v>25.078546000000003</x:v>
      </x:c>
      <x:c r="X8" s="386" t="n">
        <x:f>Company_Summary!X8</x:f>
        <x:v>0.033140831392865555</x:v>
      </x:c>
      <x:c r="Y8" s="386" t="n">
        <x:f>Company_Summary!Y8</x:f>
        <x:v>0.006640202900144371</x:v>
      </x:c>
      <x:c r="Z8" s="385" t="n">
        <x:f>Company_Summary!W8</x:f>
        <x:v>1.2905965329358489</x:v>
      </x:c>
      <x:c r="AA8" s="394" t="str">
        <x:f>Company_Summary!Z8</x:f>
        <x:v>$29.0B/IT-GW GPU hardware; $9.70B/IT-GW-year service</x:v>
      </x:c>
      <x:c r="AB8" s="395" t="str">
        <x:f>Company_Summary!AA8</x:f>
        <x:v>Third-party GPU equipment + full service [S17]</x:v>
      </x:c>
    </x:row>
    <x:row r="9" ht="58" customHeight="1">
      <x:c r="A9" s="48" t="str">
        <x:v>Alphabet / Google</x:v>
      </x:c>
      <x:c r="B9" s="48" t="str">
        <x:v>GOOGL</x:v>
      </x:c>
      <x:c r="C9" s="70" t="n">
        <x:v>339.35</x:v>
      </x:c>
      <x:c r="D9" s="70" t="n">
        <x:v>4150.2505</x:v>
      </x:c>
      <x:c r="E9" s="118" t="n">
        <x:v>17.044198895</x:v>
      </x:c>
      <x:c r="F9" s="84" t="n">
        <x:f>Company_Summary!K9</x:f>
        <x:v>4.7152</x:v>
      </x:c>
      <x:c r="G9" s="84" t="n">
        <x:f>Company_Summary!L9</x:f>
        <x:v>5.03782</x:v>
      </x:c>
      <x:c r="H9" s="74" t="n">
        <x:f>IF(F9=0,0,D9/F9)</x:f>
        <x:v>880.1854640312182</x:v>
      </x:c>
      <x:c r="I9" s="92" t="n">
        <x:f>IF(G9=0,0,D9*1000/G9)</x:f>
        <x:v>823818.7350877959</x:v>
      </x:c>
      <x:c r="J9" s="96" t="n">
        <x:f>37.883/D9</x:f>
        <x:v>0.009127882762739261</x:v>
      </x:c>
      <x:c r="K9" s="70" t="n">
        <x:v>85.2</x:v>
      </x:c>
      <x:c r="L9" s="96" t="n">
        <x:f>IF(K9=0,0,K9/D9)</x:f>
        <x:v>0.020528881328970384</x:v>
      </x:c>
      <x:c r="M9" s="70" t="n">
        <x:v>811</x:v>
      </x:c>
      <x:c r="N9" s="104" t="n">
        <x:f>IF(M9=0,0,M9/D9)</x:f>
        <x:v>0.19540989152341526</x:v>
      </x:c>
      <x:c r="O9" s="104" t="n">
        <x:v>0.9498</x:v>
      </x:c>
      <x:c r="P9" s="70" t="n">
        <x:v>519.5</x:v>
      </x:c>
      <x:c r="Q9" s="96" t="n">
        <x:f>IF(P9=0,0,P9/D9)</x:f>
        <x:v>0.1251731672582173</x:v>
      </x:c>
      <x:c r="R9" s="39" t="str">
        <x:v>S48; issuer filing</x:v>
      </x:c>
      <x:c r="S9" s="387" t="n">
        <x:f>Company_Summary!Q9</x:f>
        <x:v>37.883</x:v>
      </x:c>
      <x:c r="T9" s="373" t="n">
        <x:f>Company_Summary!R9</x:f>
        <x:v>8.514</x:v>
      </x:c>
      <x:c r="U9" s="373" t="n">
        <x:f>Company_Summary!S9</x:f>
        <x:v>178.62592160000003</x:v>
      </x:c>
      <x:c r="V9" s="373" t="n">
        <x:f>Company_Summary!T9</x:f>
        <x:v>40.145212799999996</x:v>
      </x:c>
      <x:c r="W9" s="373" t="n">
        <x:f>Company_Summary!U9</x:f>
        <x:v>189.41500000000002</x:v>
      </x:c>
      <x:c r="X9" s="376" t="n">
        <x:f>Company_Summary!X9</x:f>
        <x:v>0.04303979280286817</x:v>
      </x:c>
      <x:c r="Y9" s="376" t="n">
        <x:f>Company_Summary!Y9</x:f>
        <x:v>0.04563941381369631</x:v>
      </x:c>
      <x:c r="Z9" s="375" t="n">
        <x:f>Company_Summary!W9</x:f>
        <x:v>1.2812346144230027</x:v>
      </x:c>
      <x:c r="AA9" s="388" t="str">
        <x:f>Company_Summary!Z9</x:f>
        <x:v>$9–11B/IT-GW facility; $1.90B/IT-GW-year base lease</x:v>
      </x:c>
      <x:c r="AB9" s="389" t="str">
        <x:f>Company_Summary!AA9</x:f>
        <x:v>Google-backstopped third-party facility [S49]</x:v>
      </x:c>
    </x:row>
    <x:row r="10" ht="58" customHeight="1">
      <x:c r="A10" s="48" t="str">
        <x:v>Meta</x:v>
      </x:c>
      <x:c r="B10" s="48" t="str">
        <x:v>META</x:v>
      </x:c>
      <x:c r="C10" s="70" t="n">
        <x:v>572.34</x:v>
      </x:c>
      <x:c r="D10" s="70" t="n">
        <x:v>1468.62444</x:v>
      </x:c>
      <x:c r="E10" s="118" t="n">
        <x:v>21.565184627</x:v>
      </x:c>
      <x:c r="F10" s="84" t="n">
        <x:f>Company_Summary!K10</x:f>
        <x:v>2.382</x:v>
      </x:c>
      <x:c r="G10" s="84" t="n">
        <x:f>Company_Summary!L10</x:f>
        <x:v>2.687</x:v>
      </x:c>
      <x:c r="H10" s="74" t="n">
        <x:f>IF(F10=0,0,D10/F10)</x:f>
        <x:v>616.5509823677581</x:v>
      </x:c>
      <x:c r="I10" s="92" t="n">
        <x:f>IF(G10=0,0,D10*1000/G10)</x:f>
        <x:v>546566.5947152958</x:v>
      </x:c>
      <x:c r="J10" s="96" t="n">
        <x:f>37.883/D10</x:f>
        <x:v>0.025794885995496578</x:v>
      </x:c>
      <x:c r="K10" s="70" t="n">
        <x:v>346.99</x:v>
      </x:c>
      <x:c r="L10" s="96" t="n">
        <x:f>IF(K10=0,0,K10/D10)</x:f>
        <x:v>0.23626870869723507</x:v>
      </x:c>
      <x:c r="M10" s="70" t="n">
        <x:v>349.31</x:v>
      </x:c>
      <x:c r="N10" s="104" t="n">
        <x:f>IF(M10=0,0,M10/D10)</x:f>
        <x:v>0.23784841821098932</x:v>
      </x:c>
      <x:c r="O10" s="104" t="n">
        <x:v>0.795</x:v>
      </x:c>
      <x:c r="P10" s="70"/>
      <x:c r="Q10" s="96" t="n">
        <x:f>IF(P10=0,0,P10/D10)</x:f>
        <x:v>0</x:v>
      </x:c>
      <x:c r="R10" s="39" t="str">
        <x:v>S48; issuer filing</x:v>
      </x:c>
      <x:c r="S10" s="393" t="n">
        <x:f>Company_Summary!Q10</x:f>
        <x:v>37.883</x:v>
      </x:c>
      <x:c r="T10" s="383" t="n">
        <x:f>Company_Summary!R10</x:f>
        <x:v>8.514</x:v>
      </x:c>
      <x:c r="U10" s="383" t="n">
        <x:f>Company_Summary!S10</x:f>
        <x:v>90.237306</x:v>
      </x:c>
      <x:c r="V10" s="383" t="n">
        <x:f>Company_Summary!T10</x:f>
        <x:v>20.280348</x:v>
      </x:c>
      <x:c r="W10" s="383" t="n">
        <x:f>Company_Summary!U10</x:f>
        <x:v>189.41500000000002</x:v>
      </x:c>
      <x:c r="X10" s="386" t="n">
        <x:f>Company_Summary!X10</x:f>
        <x:v>0.061443418441272844</x:v>
      </x:c>
      <x:c r="Y10" s="386" t="n">
        <x:f>Company_Summary!Y10</x:f>
        <x:v>0.12897442997748287</x:v>
      </x:c>
      <x:c r="Z10" s="385" t="n">
        <x:f>Company_Summary!W10</x:f>
        <x:v>1.2135153709189697</x:v>
      </x:c>
      <x:c r="AA10" s="394" t="str">
        <x:f>Company_Summary!Z10</x:f>
        <x:v>$5.4B/IT-GW JV facilities; &gt;$10B/IT-GW broad program</x:v>
      </x:c>
      <x:c r="AB10" s="395" t="str">
        <x:f>Company_Summary!AA10</x:f>
        <x:v>Facility JV + broader regional investment [S28,S29]</x:v>
      </x:c>
    </x:row>
    <x:row r="11" ht="58" customHeight="1">
      <x:c r="A11" s="48" t="str">
        <x:v>Oracle</x:v>
      </x:c>
      <x:c r="B11" s="48" t="str">
        <x:v>ORCL</x:v>
      </x:c>
      <x:c r="C11" s="70" t="n">
        <x:v>149.12</x:v>
      </x:c>
      <x:c r="D11" s="70" t="n">
        <x:v>434.23744</x:v>
      </x:c>
      <x:c r="E11" s="118" t="n">
        <x:v>26.7719928187</x:v>
      </x:c>
      <x:c r="F11" s="84" t="n">
        <x:f>Company_Summary!K11</x:f>
        <x:v>0.493</x:v>
      </x:c>
      <x:c r="G11" s="84" t="n">
        <x:f>Company_Summary!L11</x:f>
        <x:v>0.5937</x:v>
      </x:c>
      <x:c r="H11" s="74" t="n">
        <x:f>IF(F11=0,0,D11/F11)</x:f>
        <x:v>880.8061663286004</x:v>
      </x:c>
      <x:c r="I11" s="92" t="n">
        <x:f>IF(G11=0,0,D11*1000/G11)</x:f>
        <x:v>731408.8596934478</x:v>
      </x:c>
      <x:c r="J11" s="96" t="n">
        <x:f>37.883/D11</x:f>
        <x:v>0.08724028955218602</x:v>
      </x:c>
      <x:c r="K11" s="70" t="n">
        <x:v>260</x:v>
      </x:c>
      <x:c r="L11" s="96" t="n">
        <x:f>IF(K11=0,0,K11/D11)</x:f>
        <x:v>0.598750766400981</x:v>
      </x:c>
      <x:c r="M11" s="70" t="n">
        <x:v>273.309</x:v>
      </x:c>
      <x:c r="N11" s="104" t="n">
        <x:f>IF(M11=0,0,M11/D11)</x:f>
        <x:v>0.629399896978022</x:v>
      </x:c>
      <x:c r="O11" s="104" t="n">
        <x:v>1.741</x:v>
      </x:c>
      <x:c r="P11" s="70" t="n">
        <x:v>638</x:v>
      </x:c>
      <x:c r="Q11" s="96" t="n">
        <x:f>IF(P11=0,0,P11/D11)</x:f>
        <x:v>1.4692422652454842</x:v>
      </x:c>
      <x:c r="R11" s="39" t="str">
        <x:v>S48; issuer filing</x:v>
      </x:c>
      <x:c r="S11" s="387" t="n">
        <x:f>Company_Summary!Q11</x:f>
        <x:v>37.883</x:v>
      </x:c>
      <x:c r="T11" s="373" t="n">
        <x:f>Company_Summary!R11</x:f>
        <x:v>8.514</x:v>
      </x:c>
      <x:c r="U11" s="373" t="n">
        <x:f>Company_Summary!S11</x:f>
        <x:v>18.676319</x:v>
      </x:c>
      <x:c r="V11" s="373" t="n">
        <x:f>Company_Summary!T11</x:f>
        <x:v>4.197401999999999</x:v>
      </x:c>
      <x:c r="W11" s="373" t="n">
        <x:f>Company_Summary!U11</x:f>
        <x:v>170.4735</x:v>
      </x:c>
      <x:c r="X11" s="376" t="n">
        <x:f>Company_Summary!X11</x:f>
        <x:v>0.043009462749227706</x:v>
      </x:c>
      <x:c r="Y11" s="376" t="n">
        <x:f>Company_Summary!Y11</x:f>
        <x:v>0.39258130298483707</x:v>
      </x:c>
      <x:c r="Z11" s="375" t="n">
        <x:f>Company_Summary!W11</x:f>
        <x:v>1.1367136137235687</x:v>
      </x:c>
      <x:c r="AA11" s="388" t="str">
        <x:f>Company_Summary!Z11</x:f>
        <x:v>~$10.91B/IT-GW-year linked service commitment</x:v>
      </x:c>
      <x:c r="AB11" s="389" t="str">
        <x:f>Company_Summary!AA11</x:f>
        <x:v>Customer AI service [S33,S34]</x:v>
      </x:c>
    </x:row>
    <x:row r="12" ht="58" customHeight="1">
      <x:c r="A12" s="48" t="str">
        <x:v>CoreWeave</x:v>
      </x:c>
      <x:c r="B12" s="48" t="str">
        <x:v>CRWV</x:v>
      </x:c>
      <x:c r="C12" s="70" t="n">
        <x:v>84.89</x:v>
      </x:c>
      <x:c r="D12" s="70" t="n">
        <x:v>46.77439</x:v>
      </x:c>
      <x:c r="E12" s="118"/>
      <x:c r="F12" s="84" t="n">
        <x:f>Company_Summary!K12</x:f>
        <x:v>1.5</x:v>
      </x:c>
      <x:c r="G12" s="84" t="n">
        <x:f>Company_Summary!L12</x:f>
        <x:v>1.67</x:v>
      </x:c>
      <x:c r="H12" s="74" t="n">
        <x:f>IF(F12=0,0,D12/F12)</x:f>
        <x:v>31.182926666666663</x:v>
      </x:c>
      <x:c r="I12" s="92" t="n">
        <x:f>IF(G12=0,0,D12*1000/G12)</x:f>
        <x:v>28008.61676646707</x:v>
      </x:c>
      <x:c r="J12" s="96" t="n">
        <x:f>37.883/D12</x:f>
        <x:v>0.8099090121752525</x:v>
      </x:c>
      <x:c r="K12" s="70" t="n">
        <x:v>35.5</x:v>
      </x:c>
      <x:c r="L12" s="96" t="n">
        <x:f>IF(K12=0,0,K12/D12)</x:f>
        <x:v>0.7589623295995951</x:v>
      </x:c>
      <x:c r="M12" s="70" t="n">
        <x:v>37.3</x:v>
      </x:c>
      <x:c r="N12" s="104" t="n">
        <x:f>IF(M12=0,0,M12/D12)</x:f>
        <x:v>0.7974449265933773</x:v>
      </x:c>
      <x:c r="O12" s="104" t="n">
        <x:v>3.85</x:v>
      </x:c>
      <x:c r="P12" s="70" t="n">
        <x:v>104</x:v>
      </x:c>
      <x:c r="Q12" s="96" t="n">
        <x:f>IF(P12=0,0,P12/D12)</x:f>
        <x:v>2.223438937418532</x:v>
      </x:c>
      <x:c r="R12" s="39" t="str">
        <x:v>S48; issuer filing</x:v>
      </x:c>
      <x:c r="S12" s="393" t="n">
        <x:f>Company_Summary!Q12</x:f>
        <x:v>37.883</x:v>
      </x:c>
      <x:c r="T12" s="383" t="n">
        <x:f>Company_Summary!R12</x:f>
        <x:v>8.514</x:v>
      </x:c>
      <x:c r="U12" s="383" t="n">
        <x:f>Company_Summary!S12</x:f>
        <x:v>56.8245</x:v>
      </x:c>
      <x:c r="V12" s="383" t="n">
        <x:f>Company_Summary!T12</x:f>
        <x:v>12.770999999999999</x:v>
      </x:c>
      <x:c r="W12" s="383" t="n">
        <x:f>Company_Summary!U12</x:f>
        <x:v>83.34260000000002</x:v>
      </x:c>
      <x:c r="X12" s="386" t="n">
        <x:f>Company_Summary!X12</x:f>
        <x:v>1.2148635182628786</x:v>
      </x:c>
      <x:c r="Y12" s="386" t="n">
        <x:f>Company_Summary!Y12</x:f>
        <x:v>1.7817998267855557</x:v>
      </x:c>
      <x:c r="Z12" s="385" t="n">
        <x:f>Company_Summary!W12</x:f>
        <x:v>1.2295493905108943</x:v>
      </x:c>
      <x:c r="AA12" s="394" t="str">
        <x:f>Company_Summary!Z12</x:f>
        <x:v>$1.44–2.34B/IT-GW-year powered-shell leases</x:v>
      </x:c>
      <x:c r="AB12" s="395" t="str">
        <x:f>Company_Summary!AA12</x:f>
        <x:v>Third-party powered-shell / facility lease [S37,S39-S44,S46]</x:v>
      </x:c>
    </x:row>
    <x:row r="13" ht="58" customHeight="1">
      <x:c r="A13" s="54" t="str">
        <x:v>Tesla</x:v>
      </x:c>
      <x:c r="B13" s="54" t="str">
        <x:v>TSLA</x:v>
      </x:c>
      <x:c r="C13" s="71" t="n">
        <x:v>367.95</x:v>
      </x:c>
      <x:c r="D13" s="71" t="n">
        <x:v>1302.543</x:v>
      </x:c>
      <x:c r="E13" s="119" t="n">
        <x:v>340.6944444444</x:v>
      </x:c>
      <x:c r="F13" s="85" t="n">
        <x:f>Company_Summary!K13</x:f>
        <x:v>0.205</x:v>
      </x:c>
      <x:c r="G13" s="85" t="n">
        <x:f>Company_Summary!L13</x:f>
        <x:v>0.23</x:v>
      </x:c>
      <x:c r="H13" s="51" t="n">
        <x:f>IF(F13=0,0,D13/F13)</x:f>
        <x:v>6353.868292682927</x:v>
      </x:c>
      <x:c r="I13" s="93" t="n">
        <x:f>IF(G13=0,0,D13*1000/G13)</x:f>
        <x:v>5663230.434782608</x:v>
      </x:c>
      <x:c r="J13" s="97" t="n">
        <x:f>37.883/D13</x:f>
        <x:v>0.029083876693514154</x:v>
      </x:c>
      <x:c r="K13" s="71"/>
      <x:c r="L13" s="97" t="n">
        <x:f>IF(K13=0,0,K13/D13)</x:f>
        <x:v>0</x:v>
      </x:c>
      <x:c r="M13" s="71"/>
      <x:c r="N13" s="114" t="n">
        <x:f>IF(M13=0,0,M13/D13)</x:f>
        <x:v>0</x:v>
      </x:c>
      <x:c r="O13" s="114" t="n">
        <x:v>1.23</x:v>
      </x:c>
      <x:c r="P13" s="71"/>
      <x:c r="Q13" s="97" t="n">
        <x:f>IF(P13=0,0,P13/D13)</x:f>
        <x:v>0</x:v>
      </x:c>
      <x:c r="R13" s="40" t="str">
        <x:v>S48; issuer filing</x:v>
      </x:c>
      <x:c r="S13" s="390" t="n">
        <x:f>Company_Summary!Q13</x:f>
        <x:v>37.883</x:v>
      </x:c>
      <x:c r="T13" s="378" t="n">
        <x:f>Company_Summary!R13</x:f>
        <x:v>8.514</x:v>
      </x:c>
      <x:c r="U13" s="378" t="n">
        <x:f>Company_Summary!S13</x:f>
        <x:v>7.766015</x:v>
      </x:c>
      <x:c r="V13" s="378" t="n">
        <x:f>Company_Summary!T13</x:f>
        <x:v>1.7453699999999999</x:v>
      </x:c>
      <x:c r="W13" s="378" t="n">
        <x:f>Company_Summary!U13</x:f>
        <x:v>7.387185000000001</x:v>
      </x:c>
      <x:c r="X13" s="381" t="n">
        <x:f>Company_Summary!X13</x:f>
        <x:v>0.005962194722170401</x:v>
      </x:c>
      <x:c r="Y13" s="381" t="n">
        <x:f>Company_Summary!Y13</x:f>
        <x:v>0.00567135595523526</x:v>
      </x:c>
      <x:c r="Z13" s="380" t="n">
        <x:f>Company_Summary!W13</x:f>
        <x:v>1.2201050256272596</x:v>
      </x:c>
      <x:c r="AA13" s="391" t="str">
        <x:f>Company_Summary!Z13</x:f>
        <x:v>Not disclosed</x:v>
      </x:c>
      <x:c r="AB13" s="392" t="str">
        <x:f>Company_Summary!AA13</x:f>
        <x:v>No defensible compute-only project ratio [S47]</x:v>
      </x:c>
    </x:row>
  </x:sheetData>
  <x:mergeCells>
    <x:mergeCell ref="A1:AB1"/>
    <x:mergeCell ref="A3:AB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2" hidden="0" customWidth="1"/>
    <x:col min="4" max="4" width="11" hidden="0" customWidth="1"/>
    <x:col min="5" max="5" width="16" hidden="0" customWidth="1"/>
    <x:col min="6" max="6" width="11" hidden="0" customWidth="1"/>
    <x:col min="7" max="7" width="15" hidden="0" customWidth="1"/>
    <x:col min="8" max="8" width="9" hidden="0" customWidth="1"/>
    <x:col min="9" max="9" width="12" hidden="0" customWidth="1"/>
    <x:col min="10" max="10" width="16" hidden="0" customWidth="1"/>
    <x:col min="11" max="11" width="16" hidden="0" customWidth="1"/>
    <x:col min="12" max="12" width="13" hidden="0" customWidth="1"/>
    <x:col min="13" max="13" width="18" hidden="0" customWidth="1"/>
    <x:col min="14" max="14" width="17" hidden="0" customWidth="1"/>
    <x:col min="15" max="15" width="15" hidden="0" customWidth="1"/>
    <x:col min="16" max="16" width="15" hidden="0" customWidth="1"/>
    <x:col min="17" max="17" width="15" hidden="0" customWidth="1"/>
    <x:col min="18" max="18" width="14" hidden="0" customWidth="1"/>
    <x:col min="19" max="19" width="14" hidden="0" customWidth="1"/>
    <x:col min="20" max="20" width="38" hidden="0" customWidth="1"/>
    <x:col min="21" max="21" width="14" hidden="0" customWidth="1"/>
  </x:cols>
  <x:sheetData>
    <x:row r="1">
      <x:c r="A1" s="234" t="str">
        <x:v>AI compute infrastructure: capacity, obligations, cost and equity exposure</x:v>
      </x:c>
      <x:c r="B1" s="234"/>
      <x:c r="C1" s="234"/>
      <x:c r="D1" s="234"/>
      <x:c r="E1" s="234"/>
      <x:c r="F1" s="234"/>
      <x:c r="G1" s="234"/>
      <x:c r="H1" s="234"/>
      <x:c r="I1" s="234"/>
      <x:c r="J1" s="234"/>
      <x:c r="K1" s="234"/>
      <x:c r="L1" s="234"/>
      <x:c r="M1" s="234"/>
      <x:c r="N1" s="234"/>
      <x:c r="O1" s="234" t="str"/>
      <x:c r="P1" s="234"/>
      <x:c r="Q1" s="234"/>
      <x:c r="R1" s="234"/>
      <x:c r="S1" s="234"/>
      <x:c r="T1" s="234"/>
      <x:c r="U1" s="234"/>
    </x:row>
    <x:row r="2">
      <x:c r="A2" s="124"/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  <x:c r="O2" s="440"/>
      <x:c r="P2" s="440"/>
      <x:c r="Q2" s="440"/>
      <x:c r="R2" s="440"/>
      <x:c r="S2" s="440"/>
      <x:c r="T2" s="440"/>
      <x:c r="U2" s="440"/>
    </x:row>
    <x:row r="3">
      <x:c r="A3" s="436" t="str">
        <x:v>Research model | 1 September 2026 | IT-power convention | USD unless stated</x:v>
      </x:c>
      <x:c r="B3" s="436"/>
      <x:c r="C3" s="436"/>
      <x:c r="D3" s="436"/>
      <x:c r="E3" s="436"/>
      <x:c r="F3" s="436"/>
      <x:c r="G3" s="436"/>
      <x:c r="H3" s="436"/>
      <x:c r="I3" s="436"/>
      <x:c r="J3" s="436"/>
      <x:c r="K3" s="436"/>
      <x:c r="L3" s="436"/>
      <x:c r="M3" s="436"/>
      <x:c r="N3" s="436"/>
      <x:c r="O3" s="436" t="str"/>
      <x:c r="P3" s="436"/>
      <x:c r="Q3" s="436"/>
      <x:c r="R3" s="436"/>
      <x:c r="S3" s="436"/>
      <x:c r="T3" s="436"/>
      <x:c r="U3" s="436"/>
    </x:row>
    <x:row r="4">
      <x:c r="O4" s="440"/>
      <x:c r="P4" s="440"/>
      <x:c r="Q4" s="440"/>
      <x:c r="R4" s="440"/>
      <x:c r="S4" s="440"/>
      <x:c r="T4" s="440"/>
      <x:c r="U4" s="440"/>
    </x:row>
    <x:row r="5">
      <x:c r="A5" s="158" t="str">
        <x:v>Named-site database
13.3 GW IT
86 campuses; 46% estimated coverage [S01]</x:v>
      </x:c>
      <x:c r="B5" s="159"/>
      <x:c r="C5" s="160"/>
      <x:c r="D5" s="158" t="str">
        <x:v>Largest modeled fleet
5.04M H100e
Alphabet / Google, Q4 2025 [S04,S05]</x:v>
      </x:c>
      <x:c r="E5" s="159"/>
      <x:c r="F5" s="160"/>
      <x:c r="G5" s="158" t="str">
        <x:v>Full-stack replacement
$37.9B / IT GW
GB200-class common model [S03]</x:v>
      </x:c>
      <x:c r="H5" s="159"/>
      <x:c r="I5" s="160"/>
      <x:c r="J5" s="158" t="str">
        <x:v>Annual TCO
$8.5B / IT GW
Five-year IT life [S03]</x:v>
      </x:c>
      <x:c r="K5" s="159"/>
      <x:c r="L5" s="160"/>
      <x:c r="O5" s="440"/>
      <x:c r="P5" s="440"/>
      <x:c r="Q5" s="440"/>
      <x:c r="R5" s="440"/>
      <x:c r="S5" s="440"/>
      <x:c r="T5" s="440"/>
      <x:c r="U5" s="440"/>
    </x:row>
    <x:row r="6">
      <x:c r="A6" s="161"/>
      <x:c r="B6" s="162"/>
      <x:c r="C6" s="163"/>
      <x:c r="D6" s="161"/>
      <x:c r="E6" s="162"/>
      <x:c r="F6" s="163"/>
      <x:c r="G6" s="161"/>
      <x:c r="H6" s="162"/>
      <x:c r="I6" s="163"/>
      <x:c r="J6" s="161"/>
      <x:c r="K6" s="162"/>
      <x:c r="L6" s="163"/>
      <x:c r="O6" s="440"/>
      <x:c r="P6" s="440"/>
      <x:c r="Q6" s="440"/>
      <x:c r="R6" s="440"/>
      <x:c r="S6" s="440"/>
      <x:c r="T6" s="440"/>
      <x:c r="U6" s="440"/>
    </x:row>
    <x:row r="7">
      <x:c r="A7" s="164"/>
      <x:c r="B7" s="165"/>
      <x:c r="C7" s="166"/>
      <x:c r="D7" s="164"/>
      <x:c r="E7" s="165"/>
      <x:c r="F7" s="166"/>
      <x:c r="G7" s="164"/>
      <x:c r="H7" s="165"/>
      <x:c r="I7" s="166"/>
      <x:c r="J7" s="164"/>
      <x:c r="K7" s="165"/>
      <x:c r="L7" s="166"/>
      <x:c r="O7" s="440"/>
      <x:c r="P7" s="440"/>
      <x:c r="Q7" s="440"/>
      <x:c r="R7" s="440"/>
      <x:c r="S7" s="440"/>
      <x:c r="T7" s="440"/>
      <x:c r="U7" s="440"/>
    </x:row>
    <x:row r="8">
      <x:c r="O8" s="440"/>
      <x:c r="P8" s="440"/>
      <x:c r="Q8" s="440"/>
      <x:c r="R8" s="440"/>
      <x:c r="S8" s="440"/>
      <x:c r="T8" s="440"/>
      <x:c r="U8" s="440"/>
    </x:row>
    <x:row r="9">
      <x:c r="A9" s="438" t="str">
        <x:v>Public-company comparison</x:v>
      </x:c>
      <x:c r="B9" s="438"/>
      <x:c r="C9" s="438"/>
      <x:c r="D9" s="438"/>
      <x:c r="E9" s="438"/>
      <x:c r="F9" s="438"/>
      <x:c r="G9" s="438"/>
      <x:c r="H9" s="438"/>
      <x:c r="I9" s="438"/>
      <x:c r="J9" s="438"/>
      <x:c r="K9" s="438"/>
      <x:c r="L9" s="438"/>
      <x:c r="M9" s="438"/>
      <x:c r="N9" s="438"/>
      <x:c r="O9" s="439" t="str"/>
      <x:c r="P9" s="439"/>
      <x:c r="Q9" s="439"/>
      <x:c r="R9" s="439"/>
      <x:c r="S9" s="439"/>
      <x:c r="T9" s="439"/>
      <x:c r="U9" s="439"/>
    </x:row>
    <x:row r="10" ht="54" customHeight="1">
      <x:c r="A10" s="28" t="str">
        <x:v>Company</x:v>
      </x:c>
      <x:c r="B10" s="28" t="str">
        <x:v>Ticker</x:v>
      </x:c>
      <x:c r="C10" s="28" t="str">
        <x:v>Current IT GW</x:v>
      </x:c>
      <x:c r="D10" s="28" t="str">
        <x:v>Future GW</x:v>
      </x:c>
      <x:c r="E10" s="28" t="str">
        <x:v>Current H100e (M)</x:v>
      </x:c>
      <x:c r="F10" s="28" t="str">
        <x:v>Close ($)</x:v>
      </x:c>
      <x:c r="G10" s="28" t="str">
        <x:v>Market cap ($B)</x:v>
      </x:c>
      <x:c r="H10" s="28" t="str">
        <x:v>P/E</x:v>
      </x:c>
      <x:c r="I10" s="28" t="str">
        <x:v>Capex / OCF</x:v>
      </x:c>
      <x:c r="J10" s="28" t="str">
        <x:v>Uncommenced / MCap</x:v>
      </x:c>
      <x:c r="K10" s="28" t="str">
        <x:v>Commitments / MCap</x:v>
      </x:c>
      <x:c r="L10" s="28" t="str">
        <x:v>RPO / MCap</x:v>
      </x:c>
      <x:c r="M10" s="28" t="str">
        <x:v>MCap / IT GW ($B)</x:v>
      </x:c>
      <x:c r="N10" s="28" t="str">
        <x:v>One GW capex / MCap</x:v>
      </x:c>
      <x:c r="O10" s="333" t="str">
        <x:v>Current fleet replacement ($B)</x:v>
      </x:c>
      <x:c r="P10" s="334" t="str">
        <x:v>Current annual TCO ($B)</x:v>
      </x:c>
      <x:c r="Q10" s="334" t="str">
        <x:v>Future indicator full-stack equivalent ($B)</x:v>
      </x:c>
      <x:c r="R10" s="334" t="str">
        <x:v>Current replacement / MCap</x:v>
      </x:c>
      <x:c r="S10" s="334" t="str">
        <x:v>Future indicator / MCap</x:v>
      </x:c>
      <x:c r="T10" s="334" t="str">
        <x:v>Direct observed cost / GW</x:v>
      </x:c>
      <x:c r="U10" s="335" t="str">
        <x:v>Cost / H100e-hour ($)</x:v>
      </x:c>
    </x:row>
    <x:row r="11" ht="48" customHeight="1">
      <x:c r="A11" s="76" t="str">
        <x:f>Company_Summary!A7</x:f>
        <x:v>Amazon / AWS</x:v>
      </x:c>
      <x:c r="B11" s="76" t="str">
        <x:f>Company_Summary!B7</x:f>
        <x:v>AMZN</x:v>
      </x:c>
      <x:c r="C11" s="84" t="n">
        <x:f>Company_Summary!K7</x:f>
        <x:v>2.6864</x:v>
      </x:c>
      <x:c r="D11" s="84" t="n">
        <x:f>Company_Summary!M7</x:f>
        <x:v>5</x:v>
      </x:c>
      <x:c r="E11" s="84" t="n">
        <x:f>Company_Summary!L7</x:f>
        <x:v>2.460403</x:v>
      </x:c>
      <x:c r="F11" s="204" t="n">
        <x:f>Stock_Implications!C7</x:f>
        <x:v>259.77</x:v>
      </x:c>
      <x:c r="G11" s="204" t="n">
        <x:f>Stock_Implications!D7</x:f>
        <x:v>2832.27231</x:v>
      </x:c>
      <x:c r="H11" s="208" t="n">
        <x:f>Stock_Implications!E7</x:f>
        <x:v>20.8986323411</x:v>
      </x:c>
      <x:c r="I11" s="212" t="n">
        <x:f>Stock_Implications!O7</x:f>
        <x:v>1.378</x:v>
      </x:c>
      <x:c r="J11" s="212" t="n">
        <x:f>Stock_Implications!L7</x:f>
        <x:v>0.04844661281880767</x:v>
      </x:c>
      <x:c r="K11" s="212" t="n">
        <x:f>Stock_Implications!N7</x:f>
        <x:v>0.2295097112325333</x:v>
      </x:c>
      <x:c r="L11" s="212" t="n">
        <x:f>Stock_Implications!Q7</x:f>
        <x:v>0.17512440391015935</x:v>
      </x:c>
      <x:c r="M11" s="84" t="n">
        <x:f>Stock_Implications!H7</x:f>
        <x:v>1054.3002940738534</x:v>
      </x:c>
      <x:c r="N11" s="212" t="n">
        <x:f>Stock_Implications!J7</x:f>
        <x:v>0.0133754794220334</x:v>
      </x:c>
      <x:c r="O11" s="442" t="n">
        <x:f>Company_Summary!S7</x:f>
        <x:v>101.7688912</x:v>
      </x:c>
      <x:c r="P11" s="443" t="n">
        <x:f>Company_Summary!T7</x:f>
        <x:v>22.8720096</x:v>
      </x:c>
      <x:c r="Q11" s="443" t="n">
        <x:f>Company_Summary!U7</x:f>
        <x:v>189.41500000000002</x:v>
      </x:c>
      <x:c r="R11" s="444" t="n">
        <x:f>Company_Summary!X7</x:f>
        <x:v>0.03593188791935052</x:v>
      </x:c>
      <x:c r="S11" s="444" t="n">
        <x:f>Company_Summary!Y7</x:f>
        <x:v>0.066877397110167</x:v>
      </x:c>
      <x:c r="T11" s="445" t="str">
        <x:f>Company_Summary!Z7</x:f>
        <x:v>$7.81B/IT-GW campus capex; $2.00B/IT-GW-year customer service</x:v>
      </x:c>
      <x:c r="U11" s="446" t="n">
        <x:f>Company_Summary!W7</x:f>
        <x:v>1.4946366309520127</x:v>
      </x:c>
    </x:row>
    <x:row r="12" ht="48" customHeight="1">
      <x:c r="A12" s="76" t="str">
        <x:f>Company_Summary!A8</x:f>
        <x:v>Microsoft</x:v>
      </x:c>
      <x:c r="B12" s="76" t="str">
        <x:f>Company_Summary!B8</x:f>
        <x:v>MSFT</x:v>
      </x:c>
      <x:c r="C12" s="84" t="n">
        <x:f>Company_Summary!K8</x:f>
        <x:v>3.304</x:v>
      </x:c>
      <x:c r="D12" s="84" t="n">
        <x:f>Company_Summary!M8</x:f>
        <x:v>0.662</x:v>
      </x:c>
      <x:c r="E12" s="84" t="n">
        <x:f>Company_Summary!L8</x:f>
        <x:v>3.504457</x:v>
      </x:c>
      <x:c r="F12" s="204" t="n">
        <x:f>Stock_Implications!C8</x:f>
        <x:v>507.29</x:v>
      </x:c>
      <x:c r="G12" s="204" t="n">
        <x:f>Stock_Implications!D8</x:f>
        <x:v>3776.77405</x:v>
      </x:c>
      <x:c r="H12" s="208" t="n">
        <x:f>Stock_Implications!E8</x:f>
        <x:v>30.1958333333</x:v>
      </x:c>
      <x:c r="I12" s="212" t="n">
        <x:f>Stock_Implications!O8</x:f>
        <x:v>0.634</x:v>
      </x:c>
      <x:c r="J12" s="212" t="n">
        <x:f>Stock_Implications!L8</x:f>
        <x:v>0.08713785777044301</x:v>
      </x:c>
      <x:c r="K12" s="212" t="n">
        <x:f>Stock_Implications!N8</x:f>
        <x:v>0.196946121253931</x:v>
      </x:c>
      <x:c r="L12" s="212" t="n">
        <x:f>Stock_Implications!Q8</x:f>
        <x:v>0.18110694231231544</x:v>
      </x:c>
      <x:c r="M12" s="84" t="n">
        <x:f>Stock_Implications!H8</x:f>
        <x:v>1143.0914194915256</x:v>
      </x:c>
      <x:c r="N12" s="212" t="n">
        <x:f>Stock_Implications!J8</x:f>
        <x:v>0.010030517976048899</x:v>
      </x:c>
      <x:c r="O12" s="393" t="n">
        <x:f>Company_Summary!S8</x:f>
        <x:v>125.165432</x:v>
      </x:c>
      <x:c r="P12" s="383" t="n">
        <x:f>Company_Summary!T8</x:f>
        <x:v>28.130255999999996</x:v>
      </x:c>
      <x:c r="Q12" s="383" t="n">
        <x:f>Company_Summary!U8</x:f>
        <x:v>25.078546000000003</x:v>
      </x:c>
      <x:c r="R12" s="386" t="n">
        <x:f>Company_Summary!X8</x:f>
        <x:v>0.033140831392865555</x:v>
      </x:c>
      <x:c r="S12" s="386" t="n">
        <x:f>Company_Summary!Y8</x:f>
        <x:v>0.006640202900144371</x:v>
      </x:c>
      <x:c r="T12" s="394" t="str">
        <x:f>Company_Summary!Z8</x:f>
        <x:v>$29.0B/IT-GW GPU hardware; $9.70B/IT-GW-year service</x:v>
      </x:c>
      <x:c r="U12" s="398" t="n">
        <x:f>Company_Summary!W8</x:f>
        <x:v>1.2905965329358489</x:v>
      </x:c>
    </x:row>
    <x:row r="13" ht="48" customHeight="1">
      <x:c r="A13" s="76" t="str">
        <x:f>Company_Summary!A9</x:f>
        <x:v>Alphabet / Google</x:v>
      </x:c>
      <x:c r="B13" s="76" t="str">
        <x:f>Company_Summary!B9</x:f>
        <x:v>GOOGL</x:v>
      </x:c>
      <x:c r="C13" s="84" t="n">
        <x:f>Company_Summary!K9</x:f>
        <x:v>4.7152</x:v>
      </x:c>
      <x:c r="D13" s="84" t="n">
        <x:f>Company_Summary!M9</x:f>
        <x:v>5</x:v>
      </x:c>
      <x:c r="E13" s="84" t="n">
        <x:f>Company_Summary!L9</x:f>
        <x:v>5.03782</x:v>
      </x:c>
      <x:c r="F13" s="204" t="n">
        <x:f>Stock_Implications!C9</x:f>
        <x:v>339.35</x:v>
      </x:c>
      <x:c r="G13" s="204" t="n">
        <x:f>Stock_Implications!D9</x:f>
        <x:v>4150.2505</x:v>
      </x:c>
      <x:c r="H13" s="208" t="n">
        <x:f>Stock_Implications!E9</x:f>
        <x:v>17.044198895</x:v>
      </x:c>
      <x:c r="I13" s="212" t="n">
        <x:f>Stock_Implications!O9</x:f>
        <x:v>0.9498</x:v>
      </x:c>
      <x:c r="J13" s="212" t="n">
        <x:f>Stock_Implications!L9</x:f>
        <x:v>0.020528881328970384</x:v>
      </x:c>
      <x:c r="K13" s="212" t="n">
        <x:f>Stock_Implications!N9</x:f>
        <x:v>0.19540989152341526</x:v>
      </x:c>
      <x:c r="L13" s="212" t="n">
        <x:f>Stock_Implications!Q9</x:f>
        <x:v>0.1251731672582173</x:v>
      </x:c>
      <x:c r="M13" s="84" t="n">
        <x:f>Stock_Implications!H9</x:f>
        <x:v>880.1854640312182</x:v>
      </x:c>
      <x:c r="N13" s="212" t="n">
        <x:f>Stock_Implications!J9</x:f>
        <x:v>0.009127882762739261</x:v>
      </x:c>
      <x:c r="O13" s="442" t="n">
        <x:f>Company_Summary!S9</x:f>
        <x:v>178.62592160000003</x:v>
      </x:c>
      <x:c r="P13" s="443" t="n">
        <x:f>Company_Summary!T9</x:f>
        <x:v>40.145212799999996</x:v>
      </x:c>
      <x:c r="Q13" s="443" t="n">
        <x:f>Company_Summary!U9</x:f>
        <x:v>189.41500000000002</x:v>
      </x:c>
      <x:c r="R13" s="444" t="n">
        <x:f>Company_Summary!X9</x:f>
        <x:v>0.04303979280286817</x:v>
      </x:c>
      <x:c r="S13" s="444" t="n">
        <x:f>Company_Summary!Y9</x:f>
        <x:v>0.04563941381369631</x:v>
      </x:c>
      <x:c r="T13" s="445" t="str">
        <x:f>Company_Summary!Z9</x:f>
        <x:v>$9–11B/IT-GW facility; $1.90B/IT-GW-year base lease</x:v>
      </x:c>
      <x:c r="U13" s="446" t="n">
        <x:f>Company_Summary!W9</x:f>
        <x:v>1.2812346144230027</x:v>
      </x:c>
    </x:row>
    <x:row r="14" ht="48" customHeight="1">
      <x:c r="A14" s="76" t="str">
        <x:f>Company_Summary!A10</x:f>
        <x:v>Meta</x:v>
      </x:c>
      <x:c r="B14" s="76" t="str">
        <x:f>Company_Summary!B10</x:f>
        <x:v>META</x:v>
      </x:c>
      <x:c r="C14" s="84" t="n">
        <x:f>Company_Summary!K10</x:f>
        <x:v>2.382</x:v>
      </x:c>
      <x:c r="D14" s="84" t="n">
        <x:f>Company_Summary!M10</x:f>
        <x:v>5</x:v>
      </x:c>
      <x:c r="E14" s="84" t="n">
        <x:f>Company_Summary!L10</x:f>
        <x:v>2.687</x:v>
      </x:c>
      <x:c r="F14" s="204" t="n">
        <x:f>Stock_Implications!C10</x:f>
        <x:v>572.34</x:v>
      </x:c>
      <x:c r="G14" s="204" t="n">
        <x:f>Stock_Implications!D10</x:f>
        <x:v>1468.62444</x:v>
      </x:c>
      <x:c r="H14" s="208" t="n">
        <x:f>Stock_Implications!E10</x:f>
        <x:v>21.565184627</x:v>
      </x:c>
      <x:c r="I14" s="212" t="n">
        <x:f>Stock_Implications!O10</x:f>
        <x:v>0.795</x:v>
      </x:c>
      <x:c r="J14" s="212" t="n">
        <x:f>Stock_Implications!L10</x:f>
        <x:v>0.23626870869723507</x:v>
      </x:c>
      <x:c r="K14" s="212" t="n">
        <x:f>Stock_Implications!N10</x:f>
        <x:v>0.23784841821098932</x:v>
      </x:c>
      <x:c r="L14" s="212" t="n">
        <x:f>Stock_Implications!Q10</x:f>
        <x:v>0</x:v>
      </x:c>
      <x:c r="M14" s="84" t="n">
        <x:f>Stock_Implications!H10</x:f>
        <x:v>616.5509823677581</x:v>
      </x:c>
      <x:c r="N14" s="212" t="n">
        <x:f>Stock_Implications!J10</x:f>
        <x:v>0.025794885995496578</x:v>
      </x:c>
      <x:c r="O14" s="393" t="n">
        <x:f>Company_Summary!S10</x:f>
        <x:v>90.237306</x:v>
      </x:c>
      <x:c r="P14" s="383" t="n">
        <x:f>Company_Summary!T10</x:f>
        <x:v>20.280348</x:v>
      </x:c>
      <x:c r="Q14" s="383" t="n">
        <x:f>Company_Summary!U10</x:f>
        <x:v>189.41500000000002</x:v>
      </x:c>
      <x:c r="R14" s="386" t="n">
        <x:f>Company_Summary!X10</x:f>
        <x:v>0.061443418441272844</x:v>
      </x:c>
      <x:c r="S14" s="386" t="n">
        <x:f>Company_Summary!Y10</x:f>
        <x:v>0.12897442997748287</x:v>
      </x:c>
      <x:c r="T14" s="394" t="str">
        <x:f>Company_Summary!Z10</x:f>
        <x:v>$5.4B/IT-GW JV facilities; &gt;$10B/IT-GW broad program</x:v>
      </x:c>
      <x:c r="U14" s="398" t="n">
        <x:f>Company_Summary!W10</x:f>
        <x:v>1.2135153709189697</x:v>
      </x:c>
    </x:row>
    <x:row r="15" ht="48" customHeight="1">
      <x:c r="A15" s="76" t="str">
        <x:f>Company_Summary!A11</x:f>
        <x:v>Oracle</x:v>
      </x:c>
      <x:c r="B15" s="76" t="str">
        <x:f>Company_Summary!B11</x:f>
        <x:v>ORCL</x:v>
      </x:c>
      <x:c r="C15" s="84" t="n">
        <x:f>Company_Summary!K11</x:f>
        <x:v>0.493</x:v>
      </x:c>
      <x:c r="D15" s="84" t="n">
        <x:f>Company_Summary!M11</x:f>
        <x:v>4.5</x:v>
      </x:c>
      <x:c r="E15" s="84" t="n">
        <x:f>Company_Summary!L11</x:f>
        <x:v>0.5937</x:v>
      </x:c>
      <x:c r="F15" s="204" t="n">
        <x:f>Stock_Implications!C11</x:f>
        <x:v>149.12</x:v>
      </x:c>
      <x:c r="G15" s="204" t="n">
        <x:f>Stock_Implications!D11</x:f>
        <x:v>434.23744</x:v>
      </x:c>
      <x:c r="H15" s="208" t="n">
        <x:f>Stock_Implications!E11</x:f>
        <x:v>26.7719928187</x:v>
      </x:c>
      <x:c r="I15" s="212" t="n">
        <x:f>Stock_Implications!O11</x:f>
        <x:v>1.741</x:v>
      </x:c>
      <x:c r="J15" s="212" t="n">
        <x:f>Stock_Implications!L11</x:f>
        <x:v>0.598750766400981</x:v>
      </x:c>
      <x:c r="K15" s="212" t="n">
        <x:f>Stock_Implications!N11</x:f>
        <x:v>0.629399896978022</x:v>
      </x:c>
      <x:c r="L15" s="212" t="n">
        <x:f>Stock_Implications!Q11</x:f>
        <x:v>1.4692422652454842</x:v>
      </x:c>
      <x:c r="M15" s="84" t="n">
        <x:f>Stock_Implications!H11</x:f>
        <x:v>880.8061663286004</x:v>
      </x:c>
      <x:c r="N15" s="212" t="n">
        <x:f>Stock_Implications!J11</x:f>
        <x:v>0.08724028955218602</x:v>
      </x:c>
      <x:c r="O15" s="442" t="n">
        <x:f>Company_Summary!S11</x:f>
        <x:v>18.676319</x:v>
      </x:c>
      <x:c r="P15" s="443" t="n">
        <x:f>Company_Summary!T11</x:f>
        <x:v>4.197401999999999</x:v>
      </x:c>
      <x:c r="Q15" s="443" t="n">
        <x:f>Company_Summary!U11</x:f>
        <x:v>170.4735</x:v>
      </x:c>
      <x:c r="R15" s="444" t="n">
        <x:f>Company_Summary!X11</x:f>
        <x:v>0.043009462749227706</x:v>
      </x:c>
      <x:c r="S15" s="444" t="n">
        <x:f>Company_Summary!Y11</x:f>
        <x:v>0.39258130298483707</x:v>
      </x:c>
      <x:c r="T15" s="445" t="str">
        <x:f>Company_Summary!Z11</x:f>
        <x:v>~$10.91B/IT-GW-year linked service commitment</x:v>
      </x:c>
      <x:c r="U15" s="446" t="n">
        <x:f>Company_Summary!W11</x:f>
        <x:v>1.1367136137235687</x:v>
      </x:c>
    </x:row>
    <x:row r="16" ht="48" customHeight="1">
      <x:c r="A16" s="76" t="str">
        <x:f>Company_Summary!A12</x:f>
        <x:v>CoreWeave</x:v>
      </x:c>
      <x:c r="B16" s="76" t="str">
        <x:f>Company_Summary!B12</x:f>
        <x:v>CRWV</x:v>
      </x:c>
      <x:c r="C16" s="84" t="n">
        <x:f>Company_Summary!K12</x:f>
        <x:v>1.5</x:v>
      </x:c>
      <x:c r="D16" s="84" t="n">
        <x:f>Company_Summary!M12</x:f>
        <x:v>2.2</x:v>
      </x:c>
      <x:c r="E16" s="84" t="n">
        <x:f>Company_Summary!L12</x:f>
        <x:v>1.67</x:v>
      </x:c>
      <x:c r="F16" s="204" t="n">
        <x:f>Stock_Implications!C12</x:f>
        <x:v>84.89</x:v>
      </x:c>
      <x:c r="G16" s="204" t="n">
        <x:f>Stock_Implications!D12</x:f>
        <x:v>46.77439</x:v>
      </x:c>
      <x:c r="H16" s="208" t="n">
        <x:f>Stock_Implications!E12</x:f>
        <x:v>0</x:v>
      </x:c>
      <x:c r="I16" s="212" t="n">
        <x:f>Stock_Implications!O12</x:f>
        <x:v>3.85</x:v>
      </x:c>
      <x:c r="J16" s="212" t="n">
        <x:f>Stock_Implications!L12</x:f>
        <x:v>0.7589623295995951</x:v>
      </x:c>
      <x:c r="K16" s="212" t="n">
        <x:f>Stock_Implications!N12</x:f>
        <x:v>0.7974449265933773</x:v>
      </x:c>
      <x:c r="L16" s="212" t="n">
        <x:f>Stock_Implications!Q12</x:f>
        <x:v>2.223438937418532</x:v>
      </x:c>
      <x:c r="M16" s="84" t="n">
        <x:f>Stock_Implications!H12</x:f>
        <x:v>31.182926666666663</x:v>
      </x:c>
      <x:c r="N16" s="212" t="n">
        <x:f>Stock_Implications!J12</x:f>
        <x:v>0.8099090121752525</x:v>
      </x:c>
      <x:c r="O16" s="393" t="n">
        <x:f>Company_Summary!S12</x:f>
        <x:v>56.8245</x:v>
      </x:c>
      <x:c r="P16" s="383" t="n">
        <x:f>Company_Summary!T12</x:f>
        <x:v>12.770999999999999</x:v>
      </x:c>
      <x:c r="Q16" s="383" t="n">
        <x:f>Company_Summary!U12</x:f>
        <x:v>83.34260000000002</x:v>
      </x:c>
      <x:c r="R16" s="386" t="n">
        <x:f>Company_Summary!X12</x:f>
        <x:v>1.2148635182628786</x:v>
      </x:c>
      <x:c r="S16" s="386" t="n">
        <x:f>Company_Summary!Y12</x:f>
        <x:v>1.7817998267855557</x:v>
      </x:c>
      <x:c r="T16" s="394" t="str">
        <x:f>Company_Summary!Z12</x:f>
        <x:v>$1.44–2.34B/IT-GW-year powered-shell leases</x:v>
      </x:c>
      <x:c r="U16" s="398" t="n">
        <x:f>Company_Summary!W12</x:f>
        <x:v>1.2295493905108943</x:v>
      </x:c>
    </x:row>
    <x:row r="17" ht="48" customHeight="1">
      <x:c r="A17" s="77" t="str">
        <x:f>Company_Summary!A13</x:f>
        <x:v>Tesla</x:v>
      </x:c>
      <x:c r="B17" s="77" t="str">
        <x:f>Company_Summary!B13</x:f>
        <x:v>TSLA</x:v>
      </x:c>
      <x:c r="C17" s="85" t="n">
        <x:f>Company_Summary!K13</x:f>
        <x:v>0.205</x:v>
      </x:c>
      <x:c r="D17" s="85" t="n">
        <x:f>Company_Summary!M13</x:f>
        <x:v>0.195</x:v>
      </x:c>
      <x:c r="E17" s="85" t="n">
        <x:f>Company_Summary!L13</x:f>
        <x:v>0.23</x:v>
      </x:c>
      <x:c r="F17" s="205" t="n">
        <x:f>Stock_Implications!C13</x:f>
        <x:v>367.95</x:v>
      </x:c>
      <x:c r="G17" s="205" t="n">
        <x:f>Stock_Implications!D13</x:f>
        <x:v>1302.543</x:v>
      </x:c>
      <x:c r="H17" s="209" t="n">
        <x:f>Stock_Implications!E13</x:f>
        <x:v>340.6944444444</x:v>
      </x:c>
      <x:c r="I17" s="213" t="n">
        <x:f>Stock_Implications!O13</x:f>
        <x:v>1.23</x:v>
      </x:c>
      <x:c r="J17" s="213" t="n">
        <x:f>Stock_Implications!L13</x:f>
        <x:v>0</x:v>
      </x:c>
      <x:c r="K17" s="213" t="n">
        <x:f>Stock_Implications!N13</x:f>
        <x:v>0</x:v>
      </x:c>
      <x:c r="L17" s="213" t="n">
        <x:f>Stock_Implications!Q13</x:f>
        <x:v>0</x:v>
      </x:c>
      <x:c r="M17" s="85" t="n">
        <x:f>Stock_Implications!H13</x:f>
        <x:v>6353.868292682927</x:v>
      </x:c>
      <x:c r="N17" s="213" t="n">
        <x:f>Stock_Implications!J13</x:f>
        <x:v>0.029083876693514154</x:v>
      </x:c>
      <x:c r="O17" s="447" t="n">
        <x:f>Company_Summary!S13</x:f>
        <x:v>7.766015</x:v>
      </x:c>
      <x:c r="P17" s="448" t="n">
        <x:f>Company_Summary!T13</x:f>
        <x:v>1.7453699999999999</x:v>
      </x:c>
      <x:c r="Q17" s="448" t="n">
        <x:f>Company_Summary!U13</x:f>
        <x:v>7.387185000000001</x:v>
      </x:c>
      <x:c r="R17" s="449" t="n">
        <x:f>Company_Summary!X13</x:f>
        <x:v>0.005962194722170401</x:v>
      </x:c>
      <x:c r="S17" s="449" t="n">
        <x:f>Company_Summary!Y13</x:f>
        <x:v>0.00567135595523526</x:v>
      </x:c>
      <x:c r="T17" s="450" t="str">
        <x:f>Company_Summary!Z13</x:f>
        <x:v>Not disclosed</x:v>
      </x:c>
      <x:c r="U17" s="451" t="n">
        <x:f>Company_Summary!W13</x:f>
        <x:v>1.2201050256272596</x:v>
      </x:c>
    </x:row>
    <x:row r="18">
      <x:c r="O18" s="440"/>
      <x:c r="P18" s="440"/>
      <x:c r="Q18" s="440"/>
      <x:c r="R18" s="440"/>
      <x:c r="S18" s="440"/>
      <x:c r="T18" s="440"/>
      <x:c r="U18" s="440"/>
    </x:row>
    <x:row r="39">
      <x:c r="A39" s="219" t="str">
        <x:v>Interpretation: Alphabet has the largest modeled accelerator fleet and the lowest P/E among the four hyperscalers. Oracle and CoreWeave provide the most direct AI-capacity torque, but also carry the largest future lease/debt burdens relative to equity value. Ratios are diagnostic rather than stand-alone valuation conclusions. [S12,S20,S23,S27,S31,S37,S38,S48]</x:v>
      </x:c>
      <x:c r="B39" s="219"/>
      <x:c r="C39" s="219"/>
      <x:c r="D39" s="219"/>
      <x:c r="E39" s="219"/>
      <x:c r="F39" s="219"/>
      <x:c r="G39" s="219"/>
      <x:c r="H39" s="219"/>
      <x:c r="I39" s="219"/>
      <x:c r="J39" s="219"/>
      <x:c r="K39" s="219"/>
      <x:c r="L39" s="219"/>
      <x:c r="M39" s="219"/>
      <x:c r="N39" s="219"/>
    </x:row>
    <x:row r="40">
      <x:c r="A40" s="219"/>
      <x:c r="B40" s="219"/>
      <x:c r="C40" s="219"/>
      <x:c r="D40" s="219"/>
      <x:c r="E40" s="219"/>
      <x:c r="F40" s="219"/>
      <x:c r="G40" s="219"/>
      <x:c r="H40" s="219"/>
      <x:c r="I40" s="219"/>
      <x:c r="J40" s="219"/>
      <x:c r="K40" s="219"/>
      <x:c r="L40" s="219"/>
      <x:c r="M40" s="219"/>
      <x:c r="N40" s="219"/>
    </x:row>
    <x:row r="41">
      <x:c r="A41" s="219"/>
      <x:c r="B41" s="219"/>
      <x:c r="C41" s="219"/>
      <x:c r="D41" s="219"/>
      <x:c r="E41" s="219"/>
      <x:c r="F41" s="219"/>
      <x:c r="G41" s="219"/>
      <x:c r="H41" s="219"/>
      <x:c r="I41" s="219"/>
      <x:c r="J41" s="219"/>
      <x:c r="K41" s="219"/>
      <x:c r="L41" s="219"/>
      <x:c r="M41" s="219"/>
      <x:c r="N41" s="219"/>
    </x:row>
    <x:row r="42">
      <x:c r="A42" s="219"/>
      <x:c r="B42" s="219"/>
      <x:c r="C42" s="219"/>
      <x:c r="D42" s="219"/>
      <x:c r="E42" s="219"/>
      <x:c r="F42" s="219"/>
      <x:c r="G42" s="219"/>
      <x:c r="H42" s="219"/>
      <x:c r="I42" s="219"/>
      <x:c r="J42" s="219"/>
      <x:c r="K42" s="219"/>
      <x:c r="L42" s="219"/>
      <x:c r="M42" s="219"/>
      <x:c r="N42" s="219"/>
    </x:row>
    <x:row r="43">
      <x:c r="A43" s="219"/>
      <x:c r="B43" s="219"/>
      <x:c r="C43" s="219"/>
      <x:c r="D43" s="219"/>
      <x:c r="E43" s="219"/>
      <x:c r="F43" s="219"/>
      <x:c r="G43" s="219"/>
      <x:c r="H43" s="219"/>
      <x:c r="I43" s="219"/>
      <x:c r="J43" s="219"/>
      <x:c r="K43" s="219"/>
      <x:c r="L43" s="219"/>
      <x:c r="M43" s="219"/>
      <x:c r="N43" s="219"/>
    </x:row>
  </x:sheetData>
  <x:mergeCells>
    <x:mergeCell ref="A5:C7"/>
    <x:mergeCell ref="D5:F7"/>
    <x:mergeCell ref="G5:I7"/>
    <x:mergeCell ref="J5:L7"/>
    <x:mergeCell ref="A39:N43"/>
    <x:mergeCell ref="A1:N1"/>
    <x:mergeCell ref="O1:U1"/>
    <x:mergeCell ref="A3:N3"/>
    <x:mergeCell ref="O3:U3"/>
    <x:mergeCell ref="A9:N9"/>
    <x:mergeCell ref="O9:U9"/>
  </x:mergeCells>
  <x:pageMargins left="0.7" right="0.7" top="0.75" bottom="0.75" header="0.3" footer="0.3"/>
  <x:drawing xmlns:r="http://schemas.openxmlformats.org/officeDocument/2006/relationships" r:id="R40cc9811ab3045eb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2" hidden="0" customWidth="1"/>
    <x:col min="4" max="4" width="43" hidden="0" customWidth="1"/>
    <x:col min="5" max="5" width="16" hidden="0" customWidth="1"/>
    <x:col min="6" max="6" width="68" hidden="0" customWidth="1"/>
    <x:col min="7" max="7" width="65" hidden="0" customWidth="1"/>
  </x:cols>
  <x:sheetData>
    <x:row r="1">
      <x:c r="A1" s="5" t="str">
        <x:v>Source register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13" t="str">
        <x:v>Primary filings and announcements are used where available. Independent estimates are identified. Retrieval / verification: 1 September 2026.</x:v>
      </x:c>
      <x:c r="B3" s="13"/>
      <x:c r="C3" s="13"/>
      <x:c r="D3" s="13"/>
      <x:c r="E3" s="13"/>
      <x:c r="F3" s="13"/>
      <x:c r="G3" s="13"/>
    </x:row>
    <x:row r="4">
      <x:c r="A4" s="13"/>
      <x:c r="B4" s="13"/>
      <x:c r="C4" s="13"/>
      <x:c r="D4" s="13"/>
      <x:c r="E4" s="13"/>
      <x:c r="F4" s="13"/>
      <x:c r="G4" s="13"/>
    </x:row>
    <x:row r="6">
      <x:c r="A6" s="28" t="str">
        <x:v>Source ID</x:v>
      </x:c>
      <x:c r="B6" s="28" t="str">
        <x:v>Category</x:v>
      </x:c>
      <x:c r="C6" s="28" t="str">
        <x:v>Issuer</x:v>
      </x:c>
      <x:c r="D6" s="28" t="str">
        <x:v>Document / dataset</x:v>
      </x:c>
      <x:c r="E6" s="28" t="str">
        <x:v>Document date</x:v>
      </x:c>
      <x:c r="F6" s="28" t="str">
        <x:v>URL</x:v>
      </x:c>
      <x:c r="G6" s="28" t="str">
        <x:v>Use in model</x:v>
      </x:c>
    </x:row>
    <x:row r="7">
      <x:c r="A7" s="48" t="str">
        <x:v>S01</x:v>
      </x:c>
      <x:c r="B7" s="48" t="str">
        <x:v>Independent dataset</x:v>
      </x:c>
      <x:c r="C7" s="48" t="str">
        <x:v>Epoch AI</x:v>
      </x:c>
      <x:c r="D7" s="48" t="str">
        <x:v>AI Data Centers dataset</x:v>
      </x:c>
      <x:c r="E7" s="48" t="str">
        <x:v>2026-08-31</x:v>
      </x:c>
      <x:c r="F7" s="48" t="str">
        <x:v>https://epoch.ai/data/ai-data-centers</x:v>
      </x:c>
      <x:c r="G7" s="48" t="str">
        <x:v>Named current/planned site IT power, H100e, modeled capex, coverage and uncertainty.</x:v>
      </x:c>
    </x:row>
    <x:row r="8">
      <x:c r="A8" s="48" t="str">
        <x:v>S02</x:v>
      </x:c>
      <x:c r="B8" s="48" t="str">
        <x:v>Methodology</x:v>
      </x:c>
      <x:c r="C8" s="48" t="str">
        <x:v>Epoch AI</x:v>
      </x:c>
      <x:c r="D8" s="48" t="str">
        <x:v>AI Data Centers methodology</x:v>
      </x:c>
      <x:c r="E8" s="48" t="str">
        <x:v>2026-08-31</x:v>
      </x:c>
      <x:c r="F8" s="48" t="str">
        <x:v>https://epoch.ai/data/data-centers-documentation/methodology</x:v>
      </x:c>
      <x:c r="G8" s="48" t="str">
        <x:v>Definitions, estimation methods, common cost convention and uncertainty.</x:v>
      </x:c>
    </x:row>
    <x:row r="9">
      <x:c r="A9" s="48" t="str">
        <x:v>S03</x:v>
      </x:c>
      <x:c r="B9" s="48" t="str">
        <x:v>Cost model</x:v>
      </x:c>
      <x:c r="C9" s="48" t="str">
        <x:v>Epoch AI</x:v>
      </x:c>
      <x:c r="D9" s="48" t="str">
        <x:v>AI data center cost breakdown</x:v>
      </x:c>
      <x:c r="E9" s="48" t="str">
        <x:v>2025-06-12</x:v>
      </x:c>
      <x:c r="F9" s="48" t="str">
        <x:v>https://epoch.ai/data-insights/ai-datacenter-cost-breakdown</x:v>
      </x:c>
      <x:c r="G9" s="48" t="str">
        <x:v>One-GW installed cost and annual TCO component model.</x:v>
      </x:c>
    </x:row>
    <x:row r="10">
      <x:c r="A10" s="48" t="str">
        <x:v>S04</x:v>
      </x:c>
      <x:c r="B10" s="48" t="str">
        <x:v>Independent dataset</x:v>
      </x:c>
      <x:c r="C10" s="48" t="str">
        <x:v>Epoch AI</x:v>
      </x:c>
      <x:c r="D10" s="48" t="str">
        <x:v>AI Chip Owners dataset</x:v>
      </x:c>
      <x:c r="E10" s="48" t="str">
        <x:v>2026-08-31</x:v>
      </x:c>
      <x:c r="F10" s="48" t="str">
        <x:v>https://epoch.ai/data/ai-chip-owners</x:v>
      </x:c>
      <x:c r="G10" s="48" t="str">
        <x:v>Modeled accelerator stocks by owner and chip type.</x:v>
      </x:c>
    </x:row>
    <x:row r="11">
      <x:c r="A11" s="48" t="str">
        <x:v>S05</x:v>
      </x:c>
      <x:c r="B11" s="48" t="str">
        <x:v>Methodology</x:v>
      </x:c>
      <x:c r="C11" s="48" t="str">
        <x:v>Epoch AI</x:v>
      </x:c>
      <x:c r="D11" s="48" t="str">
        <x:v>AI Chip Owners methodology</x:v>
      </x:c>
      <x:c r="E11" s="48" t="str">
        <x:v>2026-08-31</x:v>
      </x:c>
      <x:c r="F11" s="48" t="str">
        <x:v>https://epoch.ai/data/ai-chip-owners-documentation/methodology</x:v>
      </x:c>
      <x:c r="G11" s="48" t="str">
        <x:v>H100e methodology and accelerator-TDP ownership model.</x:v>
      </x:c>
    </x:row>
    <x:row r="12">
      <x:c r="A12" s="48" t="str">
        <x:v>S06</x:v>
      </x:c>
      <x:c r="B12" s="48" t="str">
        <x:v>Technical specification</x:v>
      </x:c>
      <x:c r="C12" s="48" t="str">
        <x:v>NVIDIA</x:v>
      </x:c>
      <x:c r="D12" s="48" t="str">
        <x:v>DGX H100 user guide - introduction</x:v>
      </x:c>
      <x:c r="E12" s="48" t="str">
        <x:v>Current</x:v>
      </x:c>
      <x:c r="F12" s="48" t="str">
        <x:v>https://docs.nvidia.com/dgx/dgxh100-user-guide/introduction-to-dgxh100.html</x:v>
      </x:c>
      <x:c r="G12" s="48" t="str">
        <x:v>Eight H100 GPUs and 10.2 kW maximum system power.</x:v>
      </x:c>
    </x:row>
    <x:row r="13">
      <x:c r="A13" s="48" t="str">
        <x:v>S07</x:v>
      </x:c>
      <x:c r="B13" s="48" t="str">
        <x:v>Technical specification</x:v>
      </x:c>
      <x:c r="C13" s="48" t="str">
        <x:v>NVIDIA</x:v>
      </x:c>
      <x:c r="D13" s="48" t="str">
        <x:v>DGX B200</x:v>
      </x:c>
      <x:c r="E13" s="48" t="str">
        <x:v>Current</x:v>
      </x:c>
      <x:c r="F13" s="48" t="str">
        <x:v>https://www.nvidia.com/en-us/data-center/dgx-b200/</x:v>
      </x:c>
      <x:c r="G13" s="48" t="str">
        <x:v>Eight B200 GPUs, 14.3 kW maximum power and FP8 throughput.</x:v>
      </x:c>
    </x:row>
    <x:row r="14">
      <x:c r="A14" s="48" t="str">
        <x:v>S08</x:v>
      </x:c>
      <x:c r="B14" s="48" t="str">
        <x:v>Technical specification</x:v>
      </x:c>
      <x:c r="C14" s="48" t="str">
        <x:v>NVIDIA</x:v>
      </x:c>
      <x:c r="D14" s="48" t="str">
        <x:v>HGX platform</x:v>
      </x:c>
      <x:c r="E14" s="48" t="str">
        <x:v>Current</x:v>
      </x:c>
      <x:c r="F14" s="48" t="str">
        <x:v>https://www.nvidia.com/en-gb/data-center/hgx/</x:v>
      </x:c>
      <x:c r="G14" s="48" t="str">
        <x:v>B200 eight-GPU platform and FP8 throughput.</x:v>
      </x:c>
    </x:row>
    <x:row r="15">
      <x:c r="A15" s="48" t="str">
        <x:v>S09</x:v>
      </x:c>
      <x:c r="B15" s="48" t="str">
        <x:v>Technical specification</x:v>
      </x:c>
      <x:c r="C15" s="48" t="str">
        <x:v>NVIDIA</x:v>
      </x:c>
      <x:c r="D15" s="48" t="str">
        <x:v>Blackwell Architecture Technical Overview</x:v>
      </x:c>
      <x:c r="E15" s="48" t="str">
        <x:v>Current</x:v>
      </x:c>
      <x:c r="F15" s="48" t="str">
        <x:v>https://resources.nvidia.com/en-us-blackwell-architecture</x:v>
      </x:c>
      <x:c r="G15" s="48" t="str">
        <x:v>B100 throughput/power and GB200 platform performance.</x:v>
      </x:c>
    </x:row>
    <x:row r="16">
      <x:c r="A16" s="48" t="str">
        <x:v>S10</x:v>
      </x:c>
      <x:c r="B16" s="48" t="str">
        <x:v>Technical specification</x:v>
      </x:c>
      <x:c r="C16" s="48" t="str">
        <x:v>NVIDIA</x:v>
      </x:c>
      <x:c r="D16" s="48" t="str">
        <x:v>DGX GB200 hardware</x:v>
      </x:c>
      <x:c r="E16" s="48" t="str">
        <x:v>Current</x:v>
      </x:c>
      <x:c r="F16" s="48" t="str">
        <x:v>https://docs.nvidia.com/dgx/dgxgb200-user-guide/hardware.html</x:v>
      </x:c>
      <x:c r="G16" s="48" t="str">
        <x:v>NVL72 configuration: 72 Blackwell GPUs and 36 Grace CPUs.</x:v>
      </x:c>
    </x:row>
    <x:row r="17">
      <x:c r="A17" s="48" t="str">
        <x:v>S11</x:v>
      </x:c>
      <x:c r="B17" s="48" t="str">
        <x:v>Technical specification</x:v>
      </x:c>
      <x:c r="C17" s="48" t="str">
        <x:v>NVIDIA</x:v>
      </x:c>
      <x:c r="D17" s="48" t="str">
        <x:v>Mission Control FAQ - GB200 rack power</x:v>
      </x:c>
      <x:c r="E17" s="48" t="str">
        <x:v>Current</x:v>
      </x:c>
      <x:c r="F17" s="48" t="str">
        <x:v>https://docs.nvidia.com/mission-control/docs/systems-administration-guide/2.0.0/prs/faq.html</x:v>
      </x:c>
      <x:c r="G17" s="48" t="str">
        <x:v>Approximately 120 kW full-load GB200 NVL72 rack power.</x:v>
      </x:c>
    </x:row>
    <x:row r="18">
      <x:c r="A18" s="48" t="str">
        <x:v>S12</x:v>
      </x:c>
      <x:c r="B18" s="48" t="str">
        <x:v>SEC filing</x:v>
      </x:c>
      <x:c r="C18" s="48" t="str">
        <x:v>Microsoft</x:v>
      </x:c>
      <x:c r="D18" s="48" t="str">
        <x:v>FY2026 Form 10-K</x:v>
      </x:c>
      <x:c r="E18" s="48" t="str">
        <x:v>2026-07-29</x:v>
      </x:c>
      <x:c r="F18" s="48" t="str">
        <x:v>https://microsoft.gcs-web.com/static-files/8a9beeed-0e9e-48e6-b4fb-593d558e2693</x:v>
      </x:c>
      <x:c r="G18" s="48" t="str">
        <x:v>PPE, leases, purchase/construction commitments, RPO and cash flow.</x:v>
      </x:c>
    </x:row>
    <x:row r="19">
      <x:c r="A19" s="48" t="str">
        <x:v>S13</x:v>
      </x:c>
      <x:c r="B19" s="48" t="str">
        <x:v>Company announcement</x:v>
      </x:c>
      <x:c r="C19" s="48" t="str">
        <x:v>Microsoft</x:v>
      </x:c>
      <x:c r="D19" s="48" t="str">
        <x:v>Fairwater Wisconsin architecture</x:v>
      </x:c>
      <x:c r="E19" s="48" t="str">
        <x:v>2025-09-18</x:v>
      </x:c>
      <x:c r="F19" s="48" t="str">
        <x:v>https://blogs.microsoft.com/blog/2025/09/18/inside-the-worlds-most-powerful-ai-datacenter/</x:v>
      </x:c>
      <x:c r="G19" s="48" t="str">
        <x:v>Campus acreage, area and hundreds of thousands of GB200 GPUs.</x:v>
      </x:c>
    </x:row>
    <x:row r="20">
      <x:c r="A20" s="48" t="str">
        <x:v>S14</x:v>
      </x:c>
      <x:c r="B20" s="48" t="str">
        <x:v>Company announcement</x:v>
      </x:c>
      <x:c r="C20" s="48" t="str">
        <x:v>Microsoft</x:v>
      </x:c>
      <x:c r="D20" s="48" t="str">
        <x:v>First Fairwater Wisconsin facility completed</x:v>
      </x:c>
      <x:c r="E20" s="48" t="str">
        <x:v>2026-06-23</x:v>
      </x:c>
      <x:c r="F20" s="48" t="str">
        <x:v>https://news.microsoft.com/source/2026/06/23/microsoft-completes-construction-on-first-datacenter-facility-in-mount-pleasant-wisconsin/</x:v>
      </x:c>
      <x:c r="G20" s="48" t="str">
        <x:v>Operational timing and $4.7B local construction spending estimate.</x:v>
      </x:c>
    </x:row>
    <x:row r="21">
      <x:c r="A21" s="48" t="str">
        <x:v>S15</x:v>
      </x:c>
      <x:c r="B21" s="48" t="str">
        <x:v>Company announcement</x:v>
      </x:c>
      <x:c r="C21" s="48" t="str">
        <x:v>Microsoft</x:v>
      </x:c>
      <x:c r="D21" s="48" t="str">
        <x:v>Azure AI superfactory - Fairwater Atlanta</x:v>
      </x:c>
      <x:c r="E21" s="48" t="str">
        <x:v>2025-11-12</x:v>
      </x:c>
      <x:c r="F21" s="48" t="str">
        <x:v>https://blogs.microsoft.com/blog/2025/11/12/infinite-scale-the-architecture-behind-the-azure-ai-superfactory/</x:v>
      </x:c>
      <x:c r="G21" s="48" t="str">
        <x:v>Hundreds of thousands of GB200/GB300 and approximately 140 kW rack design.</x:v>
      </x:c>
    </x:row>
    <x:row r="22">
      <x:c r="A22" s="48" t="str">
        <x:v>S16</x:v>
      </x:c>
      <x:c r="B22" s="48" t="str">
        <x:v>Counterparty announcement</x:v>
      </x:c>
      <x:c r="C22" s="48" t="str">
        <x:v>Nscale</x:v>
      </x:c>
      <x:c r="D22" s="48" t="str">
        <x:v>Nscale and Microsoft capacity agreements</x:v>
      </x:c>
      <x:c r="E22" s="48" t="str">
        <x:v>2025</x:v>
      </x:c>
      <x:c r="F22" s="48" t="str">
        <x:v>https://www.nscale.com/press-releases/nscale-microsoft-2025</x:v>
      </x:c>
      <x:c r="G22" s="48" t="str">
        <x:v>Approximately 200,000 GB300; Texas 104,000/~240 MW; other sites and 700 MW option.</x:v>
      </x:c>
    </x:row>
    <x:row r="23">
      <x:c r="A23" s="48" t="str">
        <x:v>S17</x:v>
      </x:c>
      <x:c r="B23" s="48" t="str">
        <x:v>SEC filing</x:v>
      </x:c>
      <x:c r="C23" s="48" t="str">
        <x:v>IREN</x:v>
      </x:c>
      <x:c r="D23" s="48" t="str">
        <x:v>8-K: Microsoft AI cloud contract</x:v>
      </x:c>
      <x:c r="E23" s="48" t="str">
        <x:v>2025-11-03</x:v>
      </x:c>
      <x:c r="F23" s="48" t="str">
        <x:v>https://www.sec.gov/Archives/edgar/data/1878848/000114036125040072/ef20058139_8k.htm</x:v>
      </x:c>
      <x:c r="G23" s="48" t="str">
        <x:v>$9.7B/5-year, 200 MW IT, 20% prepayment and $5.8B Dell GPU capex.</x:v>
      </x:c>
    </x:row>
    <x:row r="24">
      <x:c r="A24" s="48" t="str">
        <x:v>S18</x:v>
      </x:c>
      <x:c r="B24" s="48" t="str">
        <x:v>SEC filing</x:v>
      </x:c>
      <x:c r="C24" s="48" t="str">
        <x:v>Nebius</x:v>
      </x:c>
      <x:c r="D24" s="48" t="str">
        <x:v>6-K: Microsoft GPU services agreement</x:v>
      </x:c>
      <x:c r="E24" s="48" t="str">
        <x:v>2025-09-08</x:v>
      </x:c>
      <x:c r="F24" s="48" t="str">
        <x:v>https://www.sec.gov/Archives/edgar/data/1513845/000110465925088312/tm2525580d1_6k.htm</x:v>
      </x:c>
      <x:c r="G24" s="48" t="str">
        <x:v>$17.4B through 2031, option to $19.4B; capacity undisclosed.</x:v>
      </x:c>
    </x:row>
    <x:row r="25">
      <x:c r="A25" s="48" t="str">
        <x:v>S19</x:v>
      </x:c>
      <x:c r="B25" s="48" t="str">
        <x:v>Company announcement</x:v>
      </x:c>
      <x:c r="C25" s="48" t="str">
        <x:v>Microsoft</x:v>
      </x:c>
      <x:c r="D25" s="48" t="str">
        <x:v>Microsoft, NVIDIA and Anthropic partnerships</x:v>
      </x:c>
      <x:c r="E25" s="48" t="str">
        <x:v>2025-11-18</x:v>
      </x:c>
      <x:c r="F25" s="48" t="str">
        <x:v>https://blogs.microsoft.com/blog/2025/11/18/microsoft-nvidia-and-anthropic-announce-strategic-partnerships/</x:v>
      </x:c>
      <x:c r="G25" s="48" t="str">
        <x:v>Anthropic $30B Azure commitment and up to 1 GW additional capacity.</x:v>
      </x:c>
    </x:row>
    <x:row r="26">
      <x:c r="A26" s="48" t="str">
        <x:v>S20</x:v>
      </x:c>
      <x:c r="B26" s="48" t="str">
        <x:v>SEC filing</x:v>
      </x:c>
      <x:c r="C26" s="48" t="str">
        <x:v>Alphabet</x:v>
      </x:c>
      <x:c r="D26" s="48" t="str">
        <x:v>Q2 2026 Form 10-Q</x:v>
      </x:c>
      <x:c r="E26" s="48" t="str">
        <x:v>2026-07-24</x:v>
      </x:c>
      <x:c r="F26" s="48" t="str">
        <x:v>https://www.sec.gov/Archives/edgar/data/1652044/000165204426000071/goog-20260630.htm</x:v>
      </x:c>
      <x:c r="G26" s="48" t="str">
        <x:v>Capex, PPE, assets not in service, leases, commitments, guarantees, debt and RPO.</x:v>
      </x:c>
    </x:row>
    <x:row r="27">
      <x:c r="A27" s="48" t="str">
        <x:v>S21</x:v>
      </x:c>
      <x:c r="B27" s="48" t="str">
        <x:v>Customer announcement</x:v>
      </x:c>
      <x:c r="C27" s="48" t="str">
        <x:v>Anthropic</x:v>
      </x:c>
      <x:c r="D27" s="48" t="str">
        <x:v>Expanding use of Google Cloud TPUs</x:v>
      </x:c>
      <x:c r="E27" s="48" t="str">
        <x:v>2025-10-23</x:v>
      </x:c>
      <x:c r="F27" s="48" t="str">
        <x:v>https://www.anthropic.com/news/expanding-our-use-of-google-cloud-tpus-and-services</x:v>
      </x:c>
      <x:c r="G27" s="48" t="str">
        <x:v>Up to 1M TPUs, tens of billions and well over 1 GW online in 2026.</x:v>
      </x:c>
    </x:row>
    <x:row r="28">
      <x:c r="A28" s="48" t="str">
        <x:v>S22</x:v>
      </x:c>
      <x:c r="B28" s="48" t="str">
        <x:v>Customer announcement</x:v>
      </x:c>
      <x:c r="C28" s="48" t="str">
        <x:v>Anthropic</x:v>
      </x:c>
      <x:c r="D28" s="48" t="str">
        <x:v>Higher usage limits and compute deals</x:v>
      </x:c>
      <x:c r="E28" s="48" t="str">
        <x:v>2026-05-06</x:v>
      </x:c>
      <x:c r="F28" s="48" t="str">
        <x:v>https://www.anthropic.com/news/higher-limits-spacex</x:v>
      </x:c>
      <x:c r="G28" s="48" t="str">
        <x:v>Confirms 5 GW Google/Broadcom compute program beginning in 2027; overlap undisclosed.</x:v>
      </x:c>
    </x:row>
    <x:row r="29">
      <x:c r="A29" s="48" t="str">
        <x:v>S23</x:v>
      </x:c>
      <x:c r="B29" s="48" t="str">
        <x:v>SEC filing</x:v>
      </x:c>
      <x:c r="C29" s="48" t="str">
        <x:v>Amazon</x:v>
      </x:c>
      <x:c r="D29" s="48" t="str">
        <x:v>Q2 2026 Form 10-Q</x:v>
      </x:c>
      <x:c r="E29" s="48" t="str">
        <x:v>2026-07-31</x:v>
      </x:c>
      <x:c r="F29" s="48" t="str">
        <x:v>https://www.sec.gov/Archives/edgar/data/1018724/000101872426000026/amzn-20260630.htm</x:v>
      </x:c>
      <x:c r="G29" s="48" t="str">
        <x:v>Cash capex, AWS PPE additions/RPO, leases, purchase obligations and commitments.</x:v>
      </x:c>
    </x:row>
    <x:row r="30">
      <x:c r="A30" s="48" t="str">
        <x:v>S24</x:v>
      </x:c>
      <x:c r="B30" s="48" t="str">
        <x:v>Customer announcement</x:v>
      </x:c>
      <x:c r="C30" s="48" t="str">
        <x:v>Anthropic</x:v>
      </x:c>
      <x:c r="D30" s="48" t="str">
        <x:v>Anthropic and Amazon expand compute partnership</x:v>
      </x:c>
      <x:c r="E30" s="48" t="str">
        <x:v>2026-04-20</x:v>
      </x:c>
      <x:c r="F30" s="48" t="str">
        <x:v>https://www.anthropic.com/news/anthropic-amazon-compute</x:v>
      </x:c>
      <x:c r="G30" s="48" t="str">
        <x:v>&gt;$100B/10 years, up to 5 GW new, nearly 1 GW by end-2026 and &gt;1M Trainium2.</x:v>
      </x:c>
    </x:row>
    <x:row r="31">
      <x:c r="A31" s="48" t="str">
        <x:v>S25</x:v>
      </x:c>
      <x:c r="B31" s="48" t="str">
        <x:v>Company announcement</x:v>
      </x:c>
      <x:c r="C31" s="48" t="str">
        <x:v>Amazon</x:v>
      </x:c>
      <x:c r="D31" s="48" t="str">
        <x:v>Project Rainier</x:v>
      </x:c>
      <x:c r="E31" s="48" t="str">
        <x:v>2025-06-24</x:v>
      </x:c>
      <x:c r="F31" s="48" t="str">
        <x:v>https://www.aboutamazon.com/news/aws/aws-project-rainier-ai-trainium-chips-compute-cluster</x:v>
      </x:c>
      <x:c r="G31" s="48" t="str">
        <x:v>Nearly 500k Trainium2 initially; expected &gt;1M.</x:v>
      </x:c>
    </x:row>
    <x:row r="32">
      <x:c r="A32" s="48" t="str">
        <x:v>S26</x:v>
      </x:c>
      <x:c r="B32" s="48" t="str">
        <x:v>Company announcement</x:v>
      </x:c>
      <x:c r="C32" s="48" t="str">
        <x:v>Amazon</x:v>
      </x:c>
      <x:c r="D32" s="48" t="str">
        <x:v>$15B Indiana data-center investment</x:v>
      </x:c>
      <x:c r="E32" s="48" t="str">
        <x:v>2026</x:v>
      </x:c>
      <x:c r="F32" s="48" t="str">
        <x:v>https://www.aboutamazon.com/news/company-news/amazon-15-billion-indiana-data-centers</x:v>
      </x:c>
      <x:c r="G32" s="48" t="str">
        <x:v>$15B campus investment and 2.4 GW power envelope.</x:v>
      </x:c>
    </x:row>
    <x:row r="33">
      <x:c r="A33" s="48" t="str">
        <x:v>S27</x:v>
      </x:c>
      <x:c r="B33" s="48" t="str">
        <x:v>SEC filing</x:v>
      </x:c>
      <x:c r="C33" s="48" t="str">
        <x:v>Meta</x:v>
      </x:c>
      <x:c r="D33" s="48" t="str">
        <x:v>Q2 2026 Form 10-Q</x:v>
      </x:c>
      <x:c r="E33" s="48" t="str">
        <x:v>2026-07-30</x:v>
      </x:c>
      <x:c r="F33" s="48" t="str">
        <x:v>https://www.sec.gov/Archives/edgar/data/1326801/000162828026050705/meta-20260630.htm</x:v>
      </x:c>
      <x:c r="G33" s="48" t="str">
        <x:v>Capex, OCF, PPE/CIP, leases, commitments, debt, restricted cash and capacity contingencies.</x:v>
      </x:c>
    </x:row>
    <x:row r="34">
      <x:c r="A34" s="48" t="str">
        <x:v>S28</x:v>
      </x:c>
      <x:c r="B34" s="48" t="str">
        <x:v>Company announcement</x:v>
      </x:c>
      <x:c r="C34" s="48" t="str">
        <x:v>Meta</x:v>
      </x:c>
      <x:c r="D34" s="48" t="str">
        <x:v>Hyperion expansion in Louisiana</x:v>
      </x:c>
      <x:c r="E34" s="48" t="str">
        <x:v>2026-07</x:v>
      </x:c>
      <x:c r="F34" s="48" t="str">
        <x:v>https://about.fb.com/news/2026/07/teachers-local-businesses-win-as-meta-expands-louisiana-data-center/</x:v>
      </x:c>
      <x:c r="G34" s="48" t="str">
        <x:v>5 GW compute target and &gt;$50B regional investment.</x:v>
      </x:c>
    </x:row>
    <x:row r="35">
      <x:c r="A35" s="48" t="str">
        <x:v>S29</x:v>
      </x:c>
      <x:c r="B35" s="48" t="str">
        <x:v>Company announcement</x:v>
      </x:c>
      <x:c r="C35" s="48" t="str">
        <x:v>Meta</x:v>
      </x:c>
      <x:c r="D35" s="48" t="str">
        <x:v>Blue Owl joint venture for Hyperion</x:v>
      </x:c>
      <x:c r="E35" s="48" t="str">
        <x:v>2025</x:v>
      </x:c>
      <x:c r="F35" s="48" t="str">
        <x:v>https://investor.atmeta.com/investor-news/press-release-details/2025/Meta-Announces-Joint-Venture-with-Funds-Managed-by-Blue-Owl-Capital-to-Develop-Hyperion-Data-Center/default.aspx</x:v>
      </x:c>
      <x:c r="G35" s="48" t="str">
        <x:v>80/20 JV, approximately $27B assets, Meta lease and residual-value guarantee.</x:v>
      </x:c>
    </x:row>
    <x:row r="36">
      <x:c r="A36" s="48" t="str">
        <x:v>S30</x:v>
      </x:c>
      <x:c r="B36" s="48" t="str">
        <x:v>Company announcement</x:v>
      </x:c>
      <x:c r="C36" s="48" t="str">
        <x:v>Meta</x:v>
      </x:c>
      <x:c r="D36" s="48" t="str">
        <x:v>Nuclear energy projects</x:v>
      </x:c>
      <x:c r="E36" s="48" t="str">
        <x:v>2026-01</x:v>
      </x:c>
      <x:c r="F36" s="48" t="str">
        <x:v>https://about.fb.com/news/2026/01/meta-nuclear-energy-projects-power-american-ai-leadership/</x:v>
      </x:c>
      <x:c r="G36" s="48" t="str">
        <x:v>Up to 6.6 GW nuclear support by 2035; energy sourcing, not compute.</x:v>
      </x:c>
    </x:row>
    <x:row r="37">
      <x:c r="A37" s="48" t="str">
        <x:v>S31</x:v>
      </x:c>
      <x:c r="B37" s="48" t="str">
        <x:v>SEC filing</x:v>
      </x:c>
      <x:c r="C37" s="48" t="str">
        <x:v>Oracle</x:v>
      </x:c>
      <x:c r="D37" s="48" t="str">
        <x:v>FY2026 Form 10-K</x:v>
      </x:c>
      <x:c r="E37" s="48" t="str">
        <x:v>2026-06-26</x:v>
      </x:c>
      <x:c r="F37" s="48" t="str">
        <x:v>https://www.sec.gov/Archives/edgar/data/1341439/000119312526277521/orcl-20260531.htm</x:v>
      </x:c>
      <x:c r="G37" s="48" t="str">
        <x:v>Capex, OCF, prepayments, PPE/CIP, leases, obligations, guarantees and debt.</x:v>
      </x:c>
    </x:row>
    <x:row r="38">
      <x:c r="A38" s="48" t="str">
        <x:v>S32</x:v>
      </x:c>
      <x:c r="B38" s="48" t="str">
        <x:v>Company results</x:v>
      </x:c>
      <x:c r="C38" s="48" t="str">
        <x:v>Oracle</x:v>
      </x:c>
      <x:c r="D38" s="48" t="str">
        <x:v>FY2026 results</x:v>
      </x:c>
      <x:c r="E38" s="48" t="str">
        <x:v>2026-06-10</x:v>
      </x:c>
      <x:c r="F38" s="48" t="str">
        <x:v>https://investor.oracle.com/investor-news/news-details/2026/Oracle-Announces-Record-Q4-and-FY-2026-Results-Driven-by-Cloud-Infrastructure--Cloud-Applications/default.aspx</x:v>
      </x:c>
      <x:c r="G38" s="48" t="str">
        <x:v>Revenue, cloud revenue, capital funding and $638B RPO.</x:v>
      </x:c>
    </x:row>
    <x:row r="39">
      <x:c r="A39" s="48" t="str">
        <x:v>S33</x:v>
      </x:c>
      <x:c r="B39" s="48" t="str">
        <x:v>Customer announcement</x:v>
      </x:c>
      <x:c r="C39" s="48" t="str">
        <x:v>OpenAI</x:v>
      </x:c>
      <x:c r="D39" s="48" t="str">
        <x:v>Stargate advances with Oracle</x:v>
      </x:c>
      <x:c r="E39" s="48" t="str">
        <x:v>2025-07-22</x:v>
      </x:c>
      <x:c r="F39" s="48" t="str">
        <x:v>https://openai.com/index/stargate-advances-with-partnership-with-oracle/</x:v>
      </x:c>
      <x:c r="G39" s="48" t="str">
        <x:v>4.5 GW additional Oracle capacity, &gt;5 GW under development and &gt;2M chips.</x:v>
      </x:c>
    </x:row>
    <x:row r="40">
      <x:c r="A40" s="48" t="str">
        <x:v>S34</x:v>
      </x:c>
      <x:c r="B40" s="48" t="str">
        <x:v>Customer announcement</x:v>
      </x:c>
      <x:c r="C40" s="48" t="str">
        <x:v>OpenAI</x:v>
      </x:c>
      <x:c r="D40" s="48" t="str">
        <x:v>Five new Stargate sites</x:v>
      </x:c>
      <x:c r="E40" s="48" t="str">
        <x:v>2025-09-23</x:v>
      </x:c>
      <x:c r="F40" s="48" t="str">
        <x:v>https://openai.com/index/five-new-stargate-sites/</x:v>
      </x:c>
      <x:c r="G40" s="48" t="str">
        <x:v>Nearly 7 GW, &gt;$400B/3 years and Oracle partnership &gt;$300B / &gt;5.5 GW.</x:v>
      </x:c>
    </x:row>
    <x:row r="41">
      <x:c r="A41" s="48" t="str">
        <x:v>S35</x:v>
      </x:c>
      <x:c r="B41" s="48" t="str">
        <x:v>Customer announcement</x:v>
      </x:c>
      <x:c r="C41" s="48" t="str">
        <x:v>OpenAI</x:v>
      </x:c>
      <x:c r="D41" s="48" t="str">
        <x:v>Expanding Stargate to Michigan</x:v>
      </x:c>
      <x:c r="E41" s="48" t="str">
        <x:v>2026</x:v>
      </x:c>
      <x:c r="F41" s="48" t="str">
        <x:v>https://openai.com/index/expanding-stargate-to-michigan/</x:v>
      </x:c>
      <x:c r="G41" s="48" t="str">
        <x:v>&gt;1 GW Michigan; Stargate &gt;8 GW planned and &gt;$450B/3 years.</x:v>
      </x:c>
    </x:row>
    <x:row r="42">
      <x:c r="A42" s="48" t="str">
        <x:v>S36</x:v>
      </x:c>
      <x:c r="B42" s="48" t="str">
        <x:v>Customer announcement</x:v>
      </x:c>
      <x:c r="C42" s="48" t="str">
        <x:v>OpenAI</x:v>
      </x:c>
      <x:c r="D42" s="48" t="str">
        <x:v>Announcing the Stargate Project</x:v>
      </x:c>
      <x:c r="E42" s="48" t="str">
        <x:v>2025-01-21</x:v>
      </x:c>
      <x:c r="F42" s="48" t="str">
        <x:v>https://openai.com/index/announcing-the-stargate-project/</x:v>
      </x:c>
      <x:c r="G42" s="48" t="str">
        <x:v>Original $500B / 10 GW ambition.</x:v>
      </x:c>
    </x:row>
    <x:row r="43">
      <x:c r="A43" s="48" t="str">
        <x:v>S37</x:v>
      </x:c>
      <x:c r="B43" s="48" t="str">
        <x:v>SEC filing</x:v>
      </x:c>
      <x:c r="C43" s="48" t="str">
        <x:v>CoreWeave</x:v>
      </x:c>
      <x:c r="D43" s="48" t="str">
        <x:v>Q2 2026 Form 10-Q</x:v>
      </x:c>
      <x:c r="E43" s="48" t="str">
        <x:v>2026-08-12</x:v>
      </x:c>
      <x:c r="F43" s="48" t="str">
        <x:v>https://www.sec.gov/Archives/edgar/data/1769628/000176962826000366/crwv-20260630.htm</x:v>
      </x:c>
      <x:c r="G43" s="48" t="str">
        <x:v>PPE, ROU assets, cash/noncash capex, leases, debt, interest and customer concentration.</x:v>
      </x:c>
    </x:row>
    <x:row r="44">
      <x:c r="A44" s="48" t="str">
        <x:v>S38</x:v>
      </x:c>
      <x:c r="B44" s="48" t="str">
        <x:v>Company results</x:v>
      </x:c>
      <x:c r="C44" s="48" t="str">
        <x:v>CoreWeave</x:v>
      </x:c>
      <x:c r="D44" s="48" t="str">
        <x:v>Q2 2026 results</x:v>
      </x:c>
      <x:c r="E44" s="48" t="str">
        <x:v>2026-08-12</x:v>
      </x:c>
      <x:c r="F44" s="48" t="str">
        <x:v>https://investors.coreweave.com/news/news-details/2026/CoreWeave-Reports-Strong-Second-Quarter-2026-Results/default.aspx</x:v>
      </x:c>
      <x:c r="G44" s="48" t="str">
        <x:v>1.5 GW active, 3.7 GW contracted, approximately $104B backlog and earnings metrics.</x:v>
      </x:c>
    </x:row>
    <x:row r="45">
      <x:c r="A45" s="48" t="str">
        <x:v>S39</x:v>
      </x:c>
      <x:c r="B45" s="48" t="str">
        <x:v>Counterparty announcement</x:v>
      </x:c>
      <x:c r="C45" s="48" t="str">
        <x:v>Core Scientific</x:v>
      </x:c>
      <x:c r="D45" s="48" t="str">
        <x:v>Core Scientific/CoreWeave 590 MW expansion</x:v>
      </x:c>
      <x:c r="E45" s="48" t="str">
        <x:v>2025</x:v>
      </x:c>
      <x:c r="F45" s="48" t="str">
        <x:v>https://investors.corescientific.com/news-events/press-releases/detail/110/core-scientific-and-coreweave-announce-1-2-billion-expansion-at-denton-tx-site</x:v>
      </x:c>
      <x:c r="G45" s="48" t="str">
        <x:v>590 MW critical IT and $10.2B aggregate 12-year lease value.</x:v>
      </x:c>
    </x:row>
    <x:row r="46">
      <x:c r="A46" s="48" t="str">
        <x:v>S40</x:v>
      </x:c>
      <x:c r="B46" s="48" t="str">
        <x:v>Counterparty filing</x:v>
      </x:c>
      <x:c r="C46" s="48" t="str">
        <x:v>Core Scientific</x:v>
      </x:c>
      <x:c r="D46" s="48" t="str">
        <x:v>Q1 2025 earnings materials</x:v>
      </x:c>
      <x:c r="E46" s="48" t="str">
        <x:v>2025</x:v>
      </x:c>
      <x:c r="F46" s="48" t="str">
        <x:v>https://investors.corescientific.com/sec-filings/all-sec-filings/content/0001628280-25-023161/exhibit992-q12025earning.htm</x:v>
      </x:c>
      <x:c r="G46" s="48" t="str">
        <x:v>Approximately $850M annual lease revenue, tenant-paid power/buildout and approximately $1.5M/MW credit.</x:v>
      </x:c>
    </x:row>
    <x:row r="47">
      <x:c r="A47" s="48" t="str">
        <x:v>S41</x:v>
      </x:c>
      <x:c r="B47" s="48" t="str">
        <x:v>Counterparty filing</x:v>
      </x:c>
      <x:c r="C47" s="48" t="str">
        <x:v>Core Scientific</x:v>
      </x:c>
      <x:c r="D47" s="48" t="str">
        <x:v>Q4/FY2025 earnings deck</x:v>
      </x:c>
      <x:c r="E47" s="48" t="str">
        <x:v>2026</x:v>
      </x:c>
      <x:c r="F47" s="48" t="str">
        <x:v>https://investors.corescientific.com/sec-filings/all-sec-filings/content/0001628280-26-013214/q4fy25earningsdeckvfinal.htm</x:v>
      </x:c>
      <x:c r="G47" s="48" t="str">
        <x:v>Critical-IT MW schedule by site.</x:v>
      </x:c>
    </x:row>
    <x:row r="48">
      <x:c r="A48" s="48" t="str">
        <x:v>S42</x:v>
      </x:c>
      <x:c r="B48" s="48" t="str">
        <x:v>Counterparty announcement</x:v>
      </x:c>
      <x:c r="C48" s="48" t="str">
        <x:v>Galaxy</x:v>
      </x:c>
      <x:c r="D48" s="48" t="str">
        <x:v>Helios Phase I completion</x:v>
      </x:c>
      <x:c r="E48" s="48" t="str">
        <x:v>2026</x:v>
      </x:c>
      <x:c r="F48" s="48" t="str">
        <x:v>https://www.galaxy.com/newsroom/galaxy-completes-phase-i-of-its-helios-data-center-campus</x:v>
      </x:c>
      <x:c r="G48" s="48" t="str">
        <x:v>526 MW critical/800 MW gross, 15-year lease and &gt;$1B annual revenue.</x:v>
      </x:c>
    </x:row>
    <x:row r="49">
      <x:c r="A49" s="48" t="str">
        <x:v>S43</x:v>
      </x:c>
      <x:c r="B49" s="48" t="str">
        <x:v>Counterparty announcement</x:v>
      </x:c>
      <x:c r="C49" s="48" t="str">
        <x:v>Applied Digital</x:v>
      </x:c>
      <x:c r="D49" s="48" t="str">
        <x:v>Polaris Forge 1 Phase 1 ready for service</x:v>
      </x:c>
      <x:c r="E49" s="48" t="str">
        <x:v>2026</x:v>
      </x:c>
      <x:c r="F49" s="48" t="str">
        <x:v>https://ir.applieddigital.com/news-events/press-releases/detail/133/applied-digital-achieves-ready-for-service-for-phase-1-at</x:v>
      </x:c>
      <x:c r="G49" s="48" t="str">
        <x:v>400 MW CoreWeave lease, $11B and approximately 15 years.</x:v>
      </x:c>
    </x:row>
    <x:row r="50">
      <x:c r="A50" s="48" t="str">
        <x:v>S44</x:v>
      </x:c>
      <x:c r="B50" s="48" t="str">
        <x:v>Counterparty announcement</x:v>
      </x:c>
      <x:c r="C50" s="48" t="str">
        <x:v>Applied Digital</x:v>
      </x:c>
      <x:c r="D50" s="48" t="str">
        <x:v>$5B AI factory lease</x:v>
      </x:c>
      <x:c r="E50" s="48" t="str">
        <x:v>2026</x:v>
      </x:c>
      <x:c r="F50" s="48" t="str">
        <x:v>https://ir.applieddigital.com/news-events/press-releases/detail/132/applied-digital-announces-5-billion-ai-factory-lease-with</x:v>
      </x:c>
      <x:c r="G50" s="48" t="str">
        <x:v>200 MW, $5B and 15 years.</x:v>
      </x:c>
    </x:row>
    <x:row r="51">
      <x:c r="A51" s="48" t="str">
        <x:v>S45</x:v>
      </x:c>
      <x:c r="B51" s="48" t="str">
        <x:v>Counterparty results</x:v>
      </x:c>
      <x:c r="C51" s="48" t="str">
        <x:v>Applied Digital</x:v>
      </x:c>
      <x:c r="D51" s="48" t="str">
        <x:v>FY2026 results</x:v>
      </x:c>
      <x:c r="E51" s="48" t="str">
        <x:v>2026</x:v>
      </x:c>
      <x:c r="F51" s="48" t="str">
        <x:v>https://ir.applieddigital.com/news-events/press-releases/detail/159/applied-digital-reports-fiscal-fourth-quarter-and-full-year</x:v>
      </x:c>
      <x:c r="G51" s="48" t="str">
        <x:v>Additional 300 MW/$7.5B and 210 MW/$5.2B leases.</x:v>
      </x:c>
    </x:row>
    <x:row r="52">
      <x:c r="A52" s="48" t="str">
        <x:v>S46</x:v>
      </x:c>
      <x:c r="B52" s="48" t="str">
        <x:v>Counterparty presentation</x:v>
      </x:c>
      <x:c r="C52" s="48" t="str">
        <x:v>Applied Digital</x:v>
      </x:c>
      <x:c r="D52" s="48" t="str">
        <x:v>Investor presentation</x:v>
      </x:c>
      <x:c r="E52" s="48" t="str">
        <x:v>2026</x:v>
      </x:c>
      <x:c r="F52" s="48" t="str">
        <x:v>https://ir.applieddigital.com/sec-filings/all-sec-filings/content/0001144879-26-000036/apld_invxinvestorpresent.htm</x:v>
      </x:c>
      <x:c r="G52" s="48" t="str">
        <x:v>New-build capex $11M-$13M per critical-IT MW; power passed through.</x:v>
      </x:c>
    </x:row>
    <x:row r="53">
      <x:c r="A53" s="48" t="str">
        <x:v>S47</x:v>
      </x:c>
      <x:c r="B53" s="48" t="str">
        <x:v>Company update</x:v>
      </x:c>
      <x:c r="C53" s="48" t="str">
        <x:v>Tesla</x:v>
      </x:c>
      <x:c r="D53" s="48" t="str">
        <x:v>Q2 2026 shareholder update</x:v>
      </x:c>
      <x:c r="E53" s="48" t="str">
        <x:v>2026-07-22</x:v>
      </x:c>
      <x:c r="F53" s="48" t="str">
        <x:v>https://ir.tesla.com/_flysystem/s3/sec/000162828026049213/tsla-20260722-gen.pdf</x:v>
      </x:c>
      <x:c r="G53" s="48" t="str">
        <x:v>Cortex 1 &gt;90 MW, Cortex 2 &gt;115 MW, visual roadmap, capex and cash flow.</x:v>
      </x:c>
    </x:row>
    <x:row r="54">
      <x:c r="A54" s="54" t="str">
        <x:v>S48</x:v>
      </x:c>
      <x:c r="B54" s="54" t="str">
        <x:v>Market data</x:v>
      </x:c>
      <x:c r="C54" s="54" t="str">
        <x:v>Market-data feed</x:v>
      </x:c>
      <x:c r="D54" s="54" t="str">
        <x:v>US equity snapshot</x:v>
      </x:c>
      <x:c r="E54" s="54" t="str">
        <x:v>2026-08-31</x:v>
      </x:c>
      <x:c r="F54" s="54" t="str">
        <x:v>finance://AMZN,MSFT,GOOGL,META,ORCL,CRWV,TSLA/2026-08-31</x:v>
      </x:c>
      <x:c r="G54" s="54" t="str">
        <x:v>Latest close, market capitalization and trailing P/E.</x:v>
      </x:c>
    </x:row>
    <x:row r="55" ht="64" customHeight="1">
      <x:c r="A55" s="429" t="str">
        <x:v>S49</x:v>
      </x:c>
      <x:c r="B55" s="430" t="str">
        <x:v>Counterparty filing</x:v>
      </x:c>
      <x:c r="C55" s="430" t="str">
        <x:v>Hut 8</x:v>
      </x:c>
      <x:c r="D55" s="430" t="str">
        <x:v>River Bend Data Center Campus transaction</x:v>
      </x:c>
      <x:c r="E55" s="430" t="str">
        <x:v>2025-12-17</x:v>
      </x:c>
      <x:c r="F55" s="431" t="str">
        <x:v>https://www.sec.gov/Archives/edgar/data/1964789/000110465925122052/hut-20251217xex99d2.htm</x:v>
      </x:c>
      <x:c r="G55" s="432" t="str">
        <x:v>245 MW contracted IT, 330 MW utility / 1.35 PUE, $9M-$11M/MW build cost, $7.0B 15-year base contract and Google subsidiary backstop.</x:v>
      </x:c>
    </x:row>
  </x:sheetData>
  <x:mergeCells>
    <x:mergeCell ref="A1:G2"/>
    <x:mergeCell ref="A3:G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7" hidden="0" customWidth="1"/>
    <x:col min="4" max="4" width="12" hidden="0" customWidth="1"/>
    <x:col min="5" max="5" width="26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1" hidden="0" customWidth="1"/>
    <x:col min="18" max="18" width="48" hidden="0" customWidth="1"/>
  </x:cols>
  <x:sheetData>
    <x:row r="1" ht="30" customHeight="1">
      <x:c r="A1" s="234" t="str">
        <x:v>Per-company cost per comparable IT gigawatt</x:v>
      </x:c>
      <x:c r="B1" s="234"/>
      <x:c r="C1" s="234"/>
      <x:c r="D1" s="234"/>
      <x:c r="E1" s="234"/>
      <x:c r="F1" s="234"/>
      <x:c r="G1" s="234"/>
      <x:c r="H1" s="234"/>
      <x:c r="I1" s="234"/>
      <x:c r="J1" s="234"/>
      <x:c r="K1" s="234"/>
      <x:c r="L1" s="234"/>
      <x:c r="M1" s="234"/>
      <x:c r="N1" s="234"/>
      <x:c r="O1" s="234"/>
      <x:c r="P1" s="234"/>
      <x:c r="Q1" s="234"/>
      <x:c r="R1" s="234"/>
    </x:row>
    <x:row r="3" ht="44" customHeight="1">
      <x:c r="A3" s="238" t="str">
        <x:v>The common model prices one installed IT GW at $37.883B upfront and $8.514B/year. It is a replacement-cost yardstick, not historical company capex. Direct observations below are separated by facility, hardware, lease and full-service layer; they must not be added without a scope bridge.</x:v>
      </x:c>
      <x:c r="B3" s="238"/>
      <x:c r="C3" s="238"/>
      <x:c r="D3" s="238"/>
      <x:c r="E3" s="238"/>
      <x:c r="F3" s="238"/>
      <x:c r="G3" s="238"/>
      <x:c r="H3" s="238"/>
      <x:c r="I3" s="238"/>
      <x:c r="J3" s="238"/>
      <x:c r="K3" s="238"/>
      <x:c r="L3" s="238"/>
      <x:c r="M3" s="238"/>
      <x:c r="N3" s="238"/>
      <x:c r="O3" s="238"/>
      <x:c r="P3" s="238"/>
      <x:c r="Q3" s="238"/>
      <x:c r="R3" s="238"/>
    </x:row>
    <x:row r="5">
      <x:c r="A5" s="241" t="str">
        <x:v>Common comparable model</x:v>
      </x:c>
      <x:c r="B5" s="241"/>
      <x:c r="C5" s="241"/>
      <x:c r="D5" s="241"/>
    </x:row>
    <x:row r="6">
      <x:c r="A6" s="254" t="str">
        <x:v>Metric</x:v>
      </x:c>
      <x:c r="B6" s="255" t="str">
        <x:v>Value</x:v>
      </x:c>
      <x:c r="C6" s="255" t="str">
        <x:v>Units</x:v>
      </x:c>
      <x:c r="D6" s="256" t="str">
        <x:v>Source / note</x:v>
      </x:c>
    </x:row>
    <x:row r="7">
      <x:c r="A7" s="257" t="str">
        <x:v>Installed full-stack replacement</x:v>
      </x:c>
      <x:c r="B7" s="258" t="n">
        <x:v>37.883</x:v>
      </x:c>
      <x:c r="C7" s="259" t="str">
        <x:v>$B / IT GW</x:v>
      </x:c>
      <x:c r="D7" s="260" t="str">
        <x:v>Epoch stylized GB200-class model [S03]</x:v>
      </x:c>
    </x:row>
    <x:row r="8">
      <x:c r="A8" s="257" t="str">
        <x:v>Annual total cost of ownership</x:v>
      </x:c>
      <x:c r="B8" s="258" t="n">
        <x:v>8.514</x:v>
      </x:c>
      <x:c r="C8" s="259" t="str">
        <x:v>$B / IT GW-year</x:v>
      </x:c>
      <x:c r="D8" s="260" t="str">
        <x:v>Five-year IT life; includes annualized capex and opex [S03]</x:v>
      </x:c>
    </x:row>
    <x:row r="9">
      <x:c r="A9" s="257" t="str">
        <x:v>Utilization</x:v>
      </x:c>
      <x:c r="B9" s="261" t="n">
        <x:v>0.71</x:v>
      </x:c>
      <x:c r="C9" s="259" t="str">
        <x:v>%</x:v>
      </x:c>
      <x:c r="D9" s="260" t="str">
        <x:v>Base utilization used in the cost bridge [S03; Model]</x:v>
      </x:c>
    </x:row>
    <x:row r="10">
      <x:c r="A10" s="262" t="str">
        <x:v>Hours per year</x:v>
      </x:c>
      <x:c r="B10" s="263" t="n">
        <x:v>8760</x:v>
      </x:c>
      <x:c r="C10" s="264" t="str">
        <x:v>hours</x:v>
      </x:c>
      <x:c r="D10" s="265" t="str">
        <x:v>Model</x:v>
      </x:c>
    </x:row>
    <x:row r="12">
      <x:c r="A12" s="241" t="str">
        <x:v>Comparable company economics</x:v>
      </x:c>
      <x:c r="B12" s="241"/>
      <x:c r="C12" s="241"/>
      <x:c r="D12" s="241"/>
      <x:c r="E12" s="241"/>
      <x:c r="F12" s="241"/>
      <x:c r="G12" s="241"/>
      <x:c r="H12" s="241"/>
      <x:c r="I12" s="241"/>
      <x:c r="J12" s="241"/>
      <x:c r="K12" s="241"/>
      <x:c r="L12" s="241"/>
      <x:c r="M12" s="241"/>
      <x:c r="N12" s="241"/>
      <x:c r="O12" s="241"/>
      <x:c r="P12" s="241"/>
      <x:c r="Q12" s="241"/>
      <x:c r="R12" s="241"/>
    </x:row>
    <x:row r="13" ht="48" customHeight="1">
      <x:c r="A13" s="279" t="str">
        <x:v>Company</x:v>
      </x:c>
      <x:c r="B13" s="280" t="str">
        <x:v>Ticker</x:v>
      </x:c>
      <x:c r="C13" s="280" t="str">
        <x:v>Current IT GW</x:v>
      </x:c>
      <x:c r="D13" s="280" t="str">
        <x:v>Current H100e (M)</x:v>
      </x:c>
      <x:c r="E13" s="280" t="str">
        <x:v>H100e / IT GW (M)</x:v>
      </x:c>
      <x:c r="F13" s="280" t="str">
        <x:v>Future GW</x:v>
      </x:c>
      <x:c r="G13" s="280" t="str">
        <x:v>Capex ($B / IT GW)</x:v>
      </x:c>
      <x:c r="H13" s="280" t="str">
        <x:v>Annual TCO ($B / IT GW-year)</x:v>
      </x:c>
      <x:c r="I13" s="280" t="str">
        <x:v>Current fleet replacement ($B)</x:v>
      </x:c>
      <x:c r="J13" s="280" t="str">
        <x:v>Current annual TCO ($B/year)</x:v>
      </x:c>
      <x:c r="K13" s="280" t="str">
        <x:v>Future indicator full-stack equivalent ($B)</x:v>
      </x:c>
      <x:c r="L13" s="280" t="str">
        <x:v>Capex / H100e ($000)</x:v>
      </x:c>
      <x:c r="M13" s="280" t="str">
        <x:v>Cost / H100e-hour ($)</x:v>
      </x:c>
      <x:c r="N13" s="280" t="str">
        <x:v>Current replacement / MCap</x:v>
      </x:c>
      <x:c r="O13" s="280" t="str">
        <x:v>Future indicator / MCap</x:v>
      </x:c>
      <x:c r="P13" s="280" t="str">
        <x:v>Direct observed cost / GW</x:v>
      </x:c>
      <x:c r="Q13" s="280" t="str">
        <x:v>Observed layer / source</x:v>
      </x:c>
      <x:c r="R13" s="281" t="str">
        <x:v>Future-capacity basis</x:v>
      </x:c>
    </x:row>
    <x:row r="14" ht="58" customHeight="1">
      <x:c r="A14" s="300" t="str">
        <x:f>Company_Summary!A7</x:f>
        <x:v>Amazon / AWS</x:v>
      </x:c>
      <x:c r="B14" s="301" t="str">
        <x:f>Company_Summary!B7</x:f>
        <x:v>AMZN</x:v>
      </x:c>
      <x:c r="C14" s="302" t="n">
        <x:f>Company_Summary!K7</x:f>
        <x:v>2.6864</x:v>
      </x:c>
      <x:c r="D14" s="302" t="n">
        <x:f>Company_Summary!L7</x:f>
        <x:v>2.460403</x:v>
      </x:c>
      <x:c r="E14" s="302" t="n">
        <x:f>D14/C14</x:f>
        <x:v>0.9158736599166171</x:v>
      </x:c>
      <x:c r="F14" s="302" t="n">
        <x:f>Company_Summary!M7</x:f>
        <x:v>5</x:v>
      </x:c>
      <x:c r="G14" s="303" t="n">
        <x:f>$B$7</x:f>
        <x:v>37.883</x:v>
      </x:c>
      <x:c r="H14" s="303" t="n">
        <x:f>$B$8</x:f>
        <x:v>8.514</x:v>
      </x:c>
      <x:c r="I14" s="303" t="n">
        <x:f>C14*G14</x:f>
        <x:v>101.7688912</x:v>
      </x:c>
      <x:c r="J14" s="303" t="n">
        <x:f>C14*H14</x:f>
        <x:v>22.8720096</x:v>
      </x:c>
      <x:c r="K14" s="303" t="n">
        <x:f>F14*G14</x:f>
        <x:v>189.41500000000002</x:v>
      </x:c>
      <x:c r="L14" s="304" t="n">
        <x:f>G14/E14</x:f>
        <x:v>41.362691884215714</x:v>
      </x:c>
      <x:c r="M14" s="305" t="n">
        <x:f>H14*1000/(E14*$B$10*$B$9)</x:f>
        <x:v>1.4946366309520127</x:v>
      </x:c>
      <x:c r="N14" s="306" t="n">
        <x:f>I14/Stock_Implications!D7</x:f>
        <x:v>0.03593188791935052</x:v>
      </x:c>
      <x:c r="O14" s="306" t="n">
        <x:f>K14/Stock_Implications!D7</x:f>
        <x:v>0.066877397110167</x:v>
      </x:c>
      <x:c r="P14" s="307" t="str">
        <x:v>$7.81B/IT-GW campus capex; $2.00B/IT-GW-year customer service</x:v>
      </x:c>
      <x:c r="Q14" s="307" t="str">
        <x:v>Campus infrastructure + customer service [S24,S26; Model]</x:v>
      </x:c>
      <x:c r="R14" s="308" t="str">
        <x:v>Up to 5 GW new capacity signed with Anthropic</x:v>
      </x:c>
    </x:row>
    <x:row r="15" ht="58" customHeight="1">
      <x:c r="A15" s="282" t="str">
        <x:f>Company_Summary!A8</x:f>
        <x:v>Microsoft</x:v>
      </x:c>
      <x:c r="B15" s="283" t="str">
        <x:f>Company_Summary!B8</x:f>
        <x:v>MSFT</x:v>
      </x:c>
      <x:c r="C15" s="284" t="n">
        <x:f>Company_Summary!K8</x:f>
        <x:v>3.304</x:v>
      </x:c>
      <x:c r="D15" s="284" t="n">
        <x:f>Company_Summary!L8</x:f>
        <x:v>3.504457</x:v>
      </x:c>
      <x:c r="E15" s="284" t="n">
        <x:f>D15/C15</x:f>
        <x:v>1.0606710048426151</x:v>
      </x:c>
      <x:c r="F15" s="284" t="n">
        <x:f>Company_Summary!M8</x:f>
        <x:v>0.662</x:v>
      </x:c>
      <x:c r="G15" s="285" t="n">
        <x:f>$B$7</x:f>
        <x:v>37.883</x:v>
      </x:c>
      <x:c r="H15" s="285" t="n">
        <x:f>$B$8</x:f>
        <x:v>8.514</x:v>
      </x:c>
      <x:c r="I15" s="285" t="n">
        <x:f>C15*G15</x:f>
        <x:v>125.165432</x:v>
      </x:c>
      <x:c r="J15" s="285" t="n">
        <x:f>C15*H15</x:f>
        <x:v>28.130255999999996</x:v>
      </x:c>
      <x:c r="K15" s="285" t="n">
        <x:f>F15*G15</x:f>
        <x:v>25.078546000000003</x:v>
      </x:c>
      <x:c r="L15" s="286" t="n">
        <x:f>G15/E15</x:f>
        <x:v>35.71607013582989</x:v>
      </x:c>
      <x:c r="M15" s="287" t="n">
        <x:f>H15*1000/(E15*$B$10*$B$9)</x:f>
        <x:v>1.2905965329358489</x:v>
      </x:c>
      <x:c r="N15" s="288" t="n">
        <x:f>I15/Stock_Implications!D8</x:f>
        <x:v>0.033140831392865555</x:v>
      </x:c>
      <x:c r="O15" s="288" t="n">
        <x:f>K15/Stock_Implications!D8</x:f>
        <x:v>0.006640202900144371</x:v>
      </x:c>
      <x:c r="P15" s="289" t="str">
        <x:v>$29.0B/IT-GW GPU hardware; $9.70B/IT-GW-year service</x:v>
      </x:c>
      <x:c r="Q15" s="289" t="str">
        <x:v>Third-party GPU equipment + full service [S17]</x:v>
      </x:c>
      <x:c r="R15" s="290" t="str">
        <x:v>Firm disclosed/derived outsourced supply; 1 GW demand and 0.7 GW option not additive</x:v>
      </x:c>
    </x:row>
    <x:row r="16" ht="58" customHeight="1">
      <x:c r="A16" s="300" t="str">
        <x:f>Company_Summary!A9</x:f>
        <x:v>Alphabet / Google</x:v>
      </x:c>
      <x:c r="B16" s="301" t="str">
        <x:f>Company_Summary!B9</x:f>
        <x:v>GOOGL</x:v>
      </x:c>
      <x:c r="C16" s="302" t="n">
        <x:f>Company_Summary!K9</x:f>
        <x:v>4.7152</x:v>
      </x:c>
      <x:c r="D16" s="302" t="n">
        <x:f>Company_Summary!L9</x:f>
        <x:v>5.03782</x:v>
      </x:c>
      <x:c r="E16" s="302" t="n">
        <x:f>D16/C16</x:f>
        <x:v>1.06842127587377</x:v>
      </x:c>
      <x:c r="F16" s="302" t="n">
        <x:f>Company_Summary!M9</x:f>
        <x:v>5</x:v>
      </x:c>
      <x:c r="G16" s="303" t="n">
        <x:f>$B$7</x:f>
        <x:v>37.883</x:v>
      </x:c>
      <x:c r="H16" s="303" t="n">
        <x:f>$B$8</x:f>
        <x:v>8.514</x:v>
      </x:c>
      <x:c r="I16" s="303" t="n">
        <x:f>C16*G16</x:f>
        <x:v>178.62592160000003</x:v>
      </x:c>
      <x:c r="J16" s="303" t="n">
        <x:f>C16*H16</x:f>
        <x:v>40.145212799999996</x:v>
      </x:c>
      <x:c r="K16" s="303" t="n">
        <x:f>F16*G16</x:f>
        <x:v>189.41500000000002</x:v>
      </x:c>
      <x:c r="L16" s="304" t="n">
        <x:f>G16/E16</x:f>
        <x:v>35.45698766529968</x:v>
      </x:c>
      <x:c r="M16" s="305" t="n">
        <x:f>H16*1000/(E16*$B$10*$B$9)</x:f>
        <x:v>1.2812346144230027</x:v>
      </x:c>
      <x:c r="N16" s="306" t="n">
        <x:f>I16/Stock_Implications!D9</x:f>
        <x:v>0.04303979280286817</x:v>
      </x:c>
      <x:c r="O16" s="306" t="n">
        <x:f>K16/Stock_Implications!D9</x:f>
        <x:v>0.04563941381369631</x:v>
      </x:c>
      <x:c r="P16" s="307" t="str">
        <x:v>$9–11B/IT-GW facility; $1.90B/IT-GW-year base lease</x:v>
      </x:c>
      <x:c r="Q16" s="307" t="str">
        <x:v>Google-backstopped third-party facility [S49]</x:v>
      </x:c>
      <x:c r="R16" s="308" t="str">
        <x:v>5 GW TPU program from 2027; &gt;1 GW 2026 milestone may overlap</x:v>
      </x:c>
    </x:row>
    <x:row r="17" ht="58" customHeight="1">
      <x:c r="A17" s="282" t="str">
        <x:f>Company_Summary!A10</x:f>
        <x:v>Meta</x:v>
      </x:c>
      <x:c r="B17" s="283" t="str">
        <x:f>Company_Summary!B10</x:f>
        <x:v>META</x:v>
      </x:c>
      <x:c r="C17" s="284" t="n">
        <x:f>Company_Summary!K10</x:f>
        <x:v>2.382</x:v>
      </x:c>
      <x:c r="D17" s="284" t="n">
        <x:f>Company_Summary!L10</x:f>
        <x:v>2.687</x:v>
      </x:c>
      <x:c r="E17" s="284" t="n">
        <x:f>D17/C17</x:f>
        <x:v>1.1280436607892526</x:v>
      </x:c>
      <x:c r="F17" s="284" t="n">
        <x:f>Company_Summary!M10</x:f>
        <x:v>5</x:v>
      </x:c>
      <x:c r="G17" s="285" t="n">
        <x:f>$B$7</x:f>
        <x:v>37.883</x:v>
      </x:c>
      <x:c r="H17" s="285" t="n">
        <x:f>$B$8</x:f>
        <x:v>8.514</x:v>
      </x:c>
      <x:c r="I17" s="285" t="n">
        <x:f>C17*G17</x:f>
        <x:v>90.237306</x:v>
      </x:c>
      <x:c r="J17" s="285" t="n">
        <x:f>C17*H17</x:f>
        <x:v>20.280348</x:v>
      </x:c>
      <x:c r="K17" s="285" t="n">
        <x:f>F17*G17</x:f>
        <x:v>189.41500000000002</x:v>
      </x:c>
      <x:c r="L17" s="286" t="n">
        <x:f>G17/E17</x:f>
        <x:v>33.58291998511352</x:v>
      </x:c>
      <x:c r="M17" s="287" t="n">
        <x:f>H17*1000/(E17*$B$10*$B$9)</x:f>
        <x:v>1.2135153709189697</x:v>
      </x:c>
      <x:c r="N17" s="288" t="n">
        <x:f>I17/Stock_Implications!D10</x:f>
        <x:v>0.061443418441272844</x:v>
      </x:c>
      <x:c r="O17" s="288" t="n">
        <x:f>K17/Stock_Implications!D10</x:f>
        <x:v>0.12897442997748287</x:v>
      </x:c>
      <x:c r="P17" s="289" t="str">
        <x:v>$5.4B/IT-GW JV facilities; &gt;$10B/IT-GW broad program</x:v>
      </x:c>
      <x:c r="Q17" s="289" t="str">
        <x:v>Facility JV + broader regional investment [S28,S29]</x:v>
      </x:c>
      <x:c r="R17" s="290" t="str">
        <x:v>Hyperion 5 GW target; internal project target</x:v>
      </x:c>
    </x:row>
    <x:row r="18" ht="58" customHeight="1">
      <x:c r="A18" s="300" t="str">
        <x:f>Company_Summary!A11</x:f>
        <x:v>Oracle</x:v>
      </x:c>
      <x:c r="B18" s="301" t="str">
        <x:f>Company_Summary!B11</x:f>
        <x:v>ORCL</x:v>
      </x:c>
      <x:c r="C18" s="302" t="n">
        <x:f>Company_Summary!K11</x:f>
        <x:v>0.493</x:v>
      </x:c>
      <x:c r="D18" s="302" t="n">
        <x:f>Company_Summary!L11</x:f>
        <x:v>0.5937</x:v>
      </x:c>
      <x:c r="E18" s="302" t="n">
        <x:f>D18/C18</x:f>
        <x:v>1.2042596348884382</x:v>
      </x:c>
      <x:c r="F18" s="302" t="n">
        <x:f>Company_Summary!M11</x:f>
        <x:v>4.5</x:v>
      </x:c>
      <x:c r="G18" s="303" t="n">
        <x:f>$B$7</x:f>
        <x:v>37.883</x:v>
      </x:c>
      <x:c r="H18" s="303" t="n">
        <x:f>$B$8</x:f>
        <x:v>8.514</x:v>
      </x:c>
      <x:c r="I18" s="303" t="n">
        <x:f>C18*G18</x:f>
        <x:v>18.676319</x:v>
      </x:c>
      <x:c r="J18" s="303" t="n">
        <x:f>C18*H18</x:f>
        <x:v>4.197401999999999</x:v>
      </x:c>
      <x:c r="K18" s="303" t="n">
        <x:f>F18*G18</x:f>
        <x:v>170.4735</x:v>
      </x:c>
      <x:c r="L18" s="304" t="n">
        <x:f>G18/E18</x:f>
        <x:v>31.457502105440458</x:v>
      </x:c>
      <x:c r="M18" s="305" t="n">
        <x:f>H18*1000/(E18*$B$10*$B$9)</x:f>
        <x:v>1.1367136137235687</x:v>
      </x:c>
      <x:c r="N18" s="306" t="n">
        <x:f>I18/Stock_Implications!D11</x:f>
        <x:v>0.043009462749227706</x:v>
      </x:c>
      <x:c r="O18" s="306" t="n">
        <x:f>K18/Stock_Implications!D11</x:f>
        <x:v>0.39258130298483707</x:v>
      </x:c>
      <x:c r="P18" s="307" t="str">
        <x:v>~$10.91B/IT-GW-year linked service commitment</x:v>
      </x:c>
      <x:c r="Q18" s="307" t="str">
        <x:v>Customer AI service [S33,S34]</x:v>
      </x:c>
      <x:c r="R18" s="308" t="str">
        <x:v>Additional Oracle/OpenAI capacity; &gt;5 GW including Abilene under development</x:v>
      </x:c>
    </x:row>
    <x:row r="19" ht="58" customHeight="1">
      <x:c r="A19" s="282" t="str">
        <x:f>Company_Summary!A12</x:f>
        <x:v>CoreWeave</x:v>
      </x:c>
      <x:c r="B19" s="283" t="str">
        <x:f>Company_Summary!B12</x:f>
        <x:v>CRWV</x:v>
      </x:c>
      <x:c r="C19" s="284" t="n">
        <x:f>Company_Summary!K12</x:f>
        <x:v>1.5</x:v>
      </x:c>
      <x:c r="D19" s="284" t="n">
        <x:f>Company_Summary!L12</x:f>
        <x:v>1.67</x:v>
      </x:c>
      <x:c r="E19" s="284" t="n">
        <x:f>D19/C19</x:f>
        <x:v>1.1133333333333333</x:v>
      </x:c>
      <x:c r="F19" s="284" t="n">
        <x:f>Company_Summary!M12</x:f>
        <x:v>2.2</x:v>
      </x:c>
      <x:c r="G19" s="285" t="n">
        <x:f>$B$7</x:f>
        <x:v>37.883</x:v>
      </x:c>
      <x:c r="H19" s="285" t="n">
        <x:f>$B$8</x:f>
        <x:v>8.514</x:v>
      </x:c>
      <x:c r="I19" s="285" t="n">
        <x:f>C19*G19</x:f>
        <x:v>56.8245</x:v>
      </x:c>
      <x:c r="J19" s="285" t="n">
        <x:f>C19*H19</x:f>
        <x:v>12.770999999999999</x:v>
      </x:c>
      <x:c r="K19" s="285" t="n">
        <x:f>F19*G19</x:f>
        <x:v>83.34260000000002</x:v>
      </x:c>
      <x:c r="L19" s="286" t="n">
        <x:f>G19/E19</x:f>
        <x:v>34.02664670658683</x:v>
      </x:c>
      <x:c r="M19" s="287" t="n">
        <x:f>H19*1000/(E19*$B$10*$B$9)</x:f>
        <x:v>1.2295493905108943</x:v>
      </x:c>
      <x:c r="N19" s="288" t="n">
        <x:f>I19/Stock_Implications!D12</x:f>
        <x:v>1.2148635182628786</x:v>
      </x:c>
      <x:c r="O19" s="288" t="n">
        <x:f>K19/Stock_Implications!D12</x:f>
        <x:v>1.7817998267855557</x:v>
      </x:c>
      <x:c r="P19" s="289" t="str">
        <x:v>$1.44–2.34B/IT-GW-year powered-shell leases</x:v>
      </x:c>
      <x:c r="Q19" s="289" t="str">
        <x:v>Third-party powered-shell / facility lease [S37,S39-S44,S46]</x:v>
      </x:c>
      <x:c r="R19" s="290" t="str">
        <x:v>3.7 GW contracted less 1.5 GW active</x:v>
      </x:c>
    </x:row>
    <x:row r="20" ht="58" customHeight="1">
      <x:c r="A20" s="309" t="str">
        <x:f>Company_Summary!A13</x:f>
        <x:v>Tesla</x:v>
      </x:c>
      <x:c r="B20" s="310" t="str">
        <x:f>Company_Summary!B13</x:f>
        <x:v>TSLA</x:v>
      </x:c>
      <x:c r="C20" s="311" t="n">
        <x:f>Company_Summary!K13</x:f>
        <x:v>0.205</x:v>
      </x:c>
      <x:c r="D20" s="311" t="n">
        <x:f>Company_Summary!L13</x:f>
        <x:v>0.23</x:v>
      </x:c>
      <x:c r="E20" s="311" t="n">
        <x:f>D20/C20</x:f>
        <x:v>1.1219512195121952</x:v>
      </x:c>
      <x:c r="F20" s="311" t="n">
        <x:f>Company_Summary!M13</x:f>
        <x:v>0.195</x:v>
      </x:c>
      <x:c r="G20" s="312" t="n">
        <x:f>$B$7</x:f>
        <x:v>37.883</x:v>
      </x:c>
      <x:c r="H20" s="312" t="n">
        <x:f>$B$8</x:f>
        <x:v>8.514</x:v>
      </x:c>
      <x:c r="I20" s="312" t="n">
        <x:f>C20*G20</x:f>
        <x:v>7.766015</x:v>
      </x:c>
      <x:c r="J20" s="312" t="n">
        <x:f>C20*H20</x:f>
        <x:v>1.7453699999999999</x:v>
      </x:c>
      <x:c r="K20" s="312" t="n">
        <x:f>F20*G20</x:f>
        <x:v>7.387185000000001</x:v>
      </x:c>
      <x:c r="L20" s="313" t="n">
        <x:f>G20/E20</x:f>
        <x:v>33.76528260869565</x:v>
      </x:c>
      <x:c r="M20" s="314" t="n">
        <x:f>H20*1000/(E20*$B$10*$B$9)</x:f>
        <x:v>1.2201050256272596</x:v>
      </x:c>
      <x:c r="N20" s="315" t="n">
        <x:f>I20/Stock_Implications!D13</x:f>
        <x:v>0.005962194722170401</x:v>
      </x:c>
      <x:c r="O20" s="315" t="n">
        <x:f>K20/Stock_Implications!D13</x:f>
        <x:v>0.00567135595523526</x:v>
      </x:c>
      <x:c r="P20" s="316" t="str">
        <x:v>Not disclosed</x:v>
      </x:c>
      <x:c r="Q20" s="316" t="str">
        <x:v>No defensible compute-only project ratio [S47]</x:v>
      </x:c>
      <x:c r="R20" s="317" t="str">
        <x:v>Visual target to approximately 400 MW by Dec. 2026; not signed cloud capacity</x:v>
      </x:c>
    </x:row>
    <x:row r="21" ht="42" customHeight="1">
      <x:c r="A21" s="321" t="str">
        <x:v>Interpretation: The capex/GW and annual-TCO/GW columns are identical by construction across companies. Company variation appears in H100e density, cost per H100e-hour and the size of the current/future fleet. Future capacity includes signed third-party supply, customer commitments and internal targets with different certainty.</x:v>
      </x:c>
      <x:c r="B21" s="321"/>
      <x:c r="C21" s="321"/>
      <x:c r="D21" s="321"/>
      <x:c r="E21" s="321"/>
      <x:c r="F21" s="321"/>
      <x:c r="G21" s="321"/>
      <x:c r="H21" s="321"/>
      <x:c r="I21" s="321"/>
      <x:c r="J21" s="321"/>
      <x:c r="K21" s="321"/>
      <x:c r="L21" s="321"/>
      <x:c r="M21" s="321"/>
      <x:c r="N21" s="321"/>
      <x:c r="O21" s="321"/>
      <x:c r="P21" s="321"/>
      <x:c r="Q21" s="321"/>
      <x:c r="R21" s="321"/>
    </x:row>
    <x:row r="23">
      <x:c r="A23" s="241" t="str">
        <x:v>Company-linked observed cost evidence by layer</x:v>
      </x:c>
      <x:c r="B23" s="241"/>
      <x:c r="C23" s="241"/>
      <x:c r="D23" s="241"/>
      <x:c r="E23" s="241"/>
      <x:c r="F23" s="241"/>
      <x:c r="G23" s="241"/>
      <x:c r="H23" s="241"/>
      <x:c r="I23" s="241"/>
      <x:c r="J23" s="241"/>
      <x:c r="K23" s="241"/>
      <x:c r="L23" s="241"/>
      <x:c r="M23" s="241"/>
      <x:c r="N23" s="241"/>
      <x:c r="O23" s="241"/>
      <x:c r="P23" s="241"/>
      <x:c r="Q23" s="241"/>
      <x:c r="R23" s="241"/>
    </x:row>
    <x:row r="24" ht="58" customHeight="1">
      <x:c r="A24" s="333" t="str">
        <x:v>Company</x:v>
      </x:c>
      <x:c r="B24" s="334" t="str">
        <x:v>Benchmark</x:v>
      </x:c>
      <x:c r="C24" s="334" t="str">
        <x:v>Layer</x:v>
      </x:c>
      <x:c r="D24" s="334" t="str">
        <x:v>Capacity MW</x:v>
      </x:c>
      <x:c r="E24" s="334" t="str">
        <x:v>Capacity basis</x:v>
      </x:c>
      <x:c r="F24" s="334" t="str">
        <x:v>Term years</x:v>
      </x:c>
      <x:c r="G24" s="334" t="str">
        <x:v>Value ($B)</x:v>
      </x:c>
      <x:c r="H24" s="334" t="str">
        <x:v>Disclosed $B / GW</x:v>
      </x:c>
      <x:c r="I24" s="334" t="str">
        <x:v>Normalized capex $B / IT GW — low</x:v>
      </x:c>
      <x:c r="J24" s="334" t="str">
        <x:v>Normalized capex — high</x:v>
      </x:c>
      <x:c r="K24" s="334" t="str">
        <x:v>Nominal contract $B / IT GW — low</x:v>
      </x:c>
      <x:c r="L24" s="334" t="str">
        <x:v>Nominal contract — high</x:v>
      </x:c>
      <x:c r="M24" s="334" t="str">
        <x:v>Annual $B / IT GW-year — low</x:v>
      </x:c>
      <x:c r="N24" s="334" t="str">
        <x:v>Annual — high</x:v>
      </x:c>
      <x:c r="O24" s="334" t="str">
        <x:v>Power included</x:v>
      </x:c>
      <x:c r="P24" s="334" t="str">
        <x:v>Hardware included</x:v>
      </x:c>
      <x:c r="Q24" s="334" t="str">
        <x:v>Evidence / source</x:v>
      </x:c>
      <x:c r="R24" s="335" t="str">
        <x:v>Normalization and caveat</x:v>
      </x:c>
    </x:row>
    <x:row r="25" ht="78" customHeight="1">
      <x:c r="A25" s="350" t="str">
        <x:v>Amazon / AWS</x:v>
      </x:c>
      <x:c r="B25" s="351" t="str">
        <x:v>Indiana data-center campuses</x:v>
      </x:c>
      <x:c r="C25" s="351" t="str">
        <x:v>Campus / infrastructure capex</x:v>
      </x:c>
      <x:c r="D25" s="352" t="n">
        <x:v>2400</x:v>
      </x:c>
      <x:c r="E25" s="353" t="str">
        <x:v>Data-center/facility power</x:v>
      </x:c>
      <x:c r="F25" s="354"/>
      <x:c r="G25" s="355" t="n">
        <x:v>15</x:v>
      </x:c>
      <x:c r="H25" s="355" t="n">
        <x:v>6.25</x:v>
      </x:c>
      <x:c r="I25" s="355" t="n">
        <x:v>7.8125</x:v>
      </x:c>
      <x:c r="J25" s="355" t="n">
        <x:v>7.8125</x:v>
      </x:c>
      <x:c r="K25" s="355"/>
      <x:c r="L25" s="355"/>
      <x:c r="M25" s="355"/>
      <x:c r="N25" s="355"/>
      <x:c r="O25" s="351" t="str">
        <x:v>Partly / infrastructure</x:v>
      </x:c>
      <x:c r="P25" s="351" t="str">
        <x:v>No / unclear</x:v>
      </x:c>
      <x:c r="Q25" s="351" t="str">
        <x:v>B | S26; Model</x:v>
      </x:c>
      <x:c r="R25" s="356" t="str">
        <x:v>Divide disclosed 2.4 GW by 1.25 PUE | Campus investment, not a clean full-stack accelerator bill. IT-GW normalization uses the report-wide 1.25 PUE bridge.</x:v>
      </x:c>
    </x:row>
    <x:row r="26" ht="78" customHeight="1">
      <x:c r="A26" s="452" t="str">
        <x:v>Amazon / AWS</x:v>
      </x:c>
      <x:c r="B26" s="453" t="str">
        <x:v>Anthropic AWS commitment</x:v>
      </x:c>
      <x:c r="C26" s="453" t="str">
        <x:v>Customer AI service commitment</x:v>
      </x:c>
      <x:c r="D26" s="454" t="n">
        <x:v>5000</x:v>
      </x:c>
      <x:c r="E26" s="455" t="str">
        <x:v>Up to new service capacity</x:v>
      </x:c>
      <x:c r="F26" s="456" t="n">
        <x:v>10</x:v>
      </x:c>
      <x:c r="G26" s="457" t="n">
        <x:v>100</x:v>
      </x:c>
      <x:c r="H26" s="457" t="n">
        <x:v>20</x:v>
      </x:c>
      <x:c r="I26" s="457"/>
      <x:c r="J26" s="457"/>
      <x:c r="K26" s="457" t="n">
        <x:v>20</x:v>
      </x:c>
      <x:c r="L26" s="457" t="n">
        <x:v>20</x:v>
      </x:c>
      <x:c r="M26" s="457" t="n">
        <x:v>2</x:v>
      </x:c>
      <x:c r="N26" s="457" t="n">
        <x:v>2</x:v>
      </x:c>
      <x:c r="O26" s="453" t="str">
        <x:v>Yes / service</x:v>
      </x:c>
      <x:c r="P26" s="453" t="str">
        <x:v>Yes / service</x:v>
      </x:c>
      <x:c r="Q26" s="453" t="str">
        <x:v>C | S24</x:v>
      </x:c>
      <x:c r="R26" s="458" t="str">
        <x:v>No power conversion; capacity characterized as compute | Uses &gt;$100B against up to 5 GW; the ratio is a lower-bound value divided by an upper-bound capacity, with an undisclosed ramp.</x:v>
      </x:c>
    </x:row>
    <x:row r="27" ht="78" customHeight="1">
      <x:c r="A27" s="350" t="str">
        <x:v>Microsoft</x:v>
      </x:c>
      <x:c r="B27" s="351" t="str">
        <x:v>IREN / Dell GPU deployment</x:v>
      </x:c>
      <x:c r="C27" s="351" t="str">
        <x:v>GPU / IT equipment capex</x:v>
      </x:c>
      <x:c r="D27" s="352" t="n">
        <x:v>200</x:v>
      </x:c>
      <x:c r="E27" s="353" t="str">
        <x:v>Combined IT load</x:v>
      </x:c>
      <x:c r="F27" s="354"/>
      <x:c r="G27" s="355" t="n">
        <x:v>5.8</x:v>
      </x:c>
      <x:c r="H27" s="355" t="n">
        <x:v>29</x:v>
      </x:c>
      <x:c r="I27" s="355" t="n">
        <x:v>29</x:v>
      </x:c>
      <x:c r="J27" s="355" t="n">
        <x:v>29</x:v>
      </x:c>
      <x:c r="K27" s="355"/>
      <x:c r="L27" s="355"/>
      <x:c r="M27" s="355"/>
      <x:c r="N27" s="355"/>
      <x:c r="O27" s="351" t="str">
        <x:v>No</x:v>
      </x:c>
      <x:c r="P27" s="351" t="str">
        <x:v>Yes</x:v>
      </x:c>
      <x:c r="Q27" s="351" t="str">
        <x:v>A | S17</x:v>
      </x:c>
      <x:c r="R27" s="356" t="str">
        <x:v>Already IT load | Specific GPU/IT equipment package; facility, electricity and service margin are separate.</x:v>
      </x:c>
    </x:row>
    <x:row r="28" ht="78" customHeight="1">
      <x:c r="A28" s="452" t="str">
        <x:v>Microsoft</x:v>
      </x:c>
      <x:c r="B28" s="453" t="str">
        <x:v>IREN Microsoft GPU service</x:v>
      </x:c>
      <x:c r="C28" s="453" t="str">
        <x:v>Full GPU service contract</x:v>
      </x:c>
      <x:c r="D28" s="454" t="n">
        <x:v>200</x:v>
      </x:c>
      <x:c r="E28" s="455" t="str">
        <x:v>Combined IT load</x:v>
      </x:c>
      <x:c r="F28" s="456" t="n">
        <x:v>5</x:v>
      </x:c>
      <x:c r="G28" s="457" t="n">
        <x:v>9.7</x:v>
      </x:c>
      <x:c r="H28" s="457" t="n">
        <x:v>48.5</x:v>
      </x:c>
      <x:c r="I28" s="457"/>
      <x:c r="J28" s="457"/>
      <x:c r="K28" s="457" t="n">
        <x:v>48.5</x:v>
      </x:c>
      <x:c r="L28" s="457" t="n">
        <x:v>48.5</x:v>
      </x:c>
      <x:c r="M28" s="457" t="n">
        <x:v>9.7</x:v>
      </x:c>
      <x:c r="N28" s="457" t="n">
        <x:v>9.7</x:v>
      </x:c>
      <x:c r="O28" s="453" t="str">
        <x:v>Yes / service</x:v>
      </x:c>
      <x:c r="P28" s="453" t="str">
        <x:v>Yes</x:v>
      </x:c>
      <x:c r="Q28" s="453" t="str">
        <x:v>A | S17</x:v>
      </x:c>
      <x:c r="R28" s="458" t="str">
        <x:v>Already IT load | Outsourced service price, not Microsoft-owned construction cost; includes provider financing, operating cost and economics.</x:v>
      </x:c>
    </x:row>
    <x:row r="29" ht="78" customHeight="1">
      <x:c r="A29" s="350" t="str">
        <x:v>Alphabet / Google</x:v>
      </x:c>
      <x:c r="B29" s="351" t="str">
        <x:v>Hut 8 River Bend build cost</x:v>
      </x:c>
      <x:c r="C29" s="351" t="str">
        <x:v>Greenfield data-center facility capex</x:v>
      </x:c>
      <x:c r="D29" s="352" t="n">
        <x:v>245</x:v>
      </x:c>
      <x:c r="E29" s="353" t="str">
        <x:v>Contracted IT capacity</x:v>
      </x:c>
      <x:c r="F29" s="354"/>
      <x:c r="G29" s="355"/>
      <x:c r="H29" s="355"/>
      <x:c r="I29" s="355" t="n">
        <x:v>9</x:v>
      </x:c>
      <x:c r="J29" s="355" t="n">
        <x:v>11</x:v>
      </x:c>
      <x:c r="K29" s="355"/>
      <x:c r="L29" s="355"/>
      <x:c r="M29" s="355"/>
      <x:c r="N29" s="355"/>
      <x:c r="O29" s="351" t="str">
        <x:v>Facility layer</x:v>
      </x:c>
      <x:c r="P29" s="351" t="str">
        <x:v>No</x:v>
      </x:c>
      <x:c r="Q29" s="351" t="str">
        <x:v>A- | S49</x:v>
      </x:c>
      <x:c r="R29" s="356" t="str">
        <x:v>Already IT capacity; 330 MW utility and 1.35 PUE disclosed | Counterparty project backstopped by a Google subsidiary; Fluidstack is the tenant. It is indirect Google-linked evidence, not Alphabet-owned capex.</x:v>
      </x:c>
    </x:row>
    <x:row r="30" ht="78" customHeight="1">
      <x:c r="A30" s="452" t="str">
        <x:v>Alphabet / Google</x:v>
      </x:c>
      <x:c r="B30" s="453" t="str">
        <x:v>Hut 8 River Bend base lease</x:v>
      </x:c>
      <x:c r="C30" s="453" t="str">
        <x:v>Recurring triple-net facility lease</x:v>
      </x:c>
      <x:c r="D30" s="454" t="n">
        <x:v>245</x:v>
      </x:c>
      <x:c r="E30" s="455" t="str">
        <x:v>Contracted IT capacity</x:v>
      </x:c>
      <x:c r="F30" s="456" t="n">
        <x:v>15</x:v>
      </x:c>
      <x:c r="G30" s="457" t="n">
        <x:v>7</x:v>
      </x:c>
      <x:c r="H30" s="457" t="n">
        <x:v>28.571428571428573</x:v>
      </x:c>
      <x:c r="I30" s="457"/>
      <x:c r="J30" s="457"/>
      <x:c r="K30" s="457" t="n">
        <x:v>28.571428571428573</x:v>
      </x:c>
      <x:c r="L30" s="457" t="n">
        <x:v>28.571428571428573</x:v>
      </x:c>
      <x:c r="M30" s="457" t="n">
        <x:v>1.9047619047619049</x:v>
      </x:c>
      <x:c r="N30" s="457" t="n">
        <x:v>1.9047619047619049</x:v>
      </x:c>
      <x:c r="O30" s="453" t="str">
        <x:v>Triple-net / operating pass-throughs</x:v>
      </x:c>
      <x:c r="P30" s="453" t="str">
        <x:v>No</x:v>
      </x:c>
      <x:c r="Q30" s="453" t="str">
        <x:v>A- | S49</x:v>
      </x:c>
      <x:c r="R30" s="458" t="str">
        <x:v>Already IT capacity | Google subsidiary backstop rather than direct Alphabet tenancy; nominal undiscounted base-term value and 3% escalator.</x:v>
      </x:c>
    </x:row>
    <x:row r="31" ht="78" customHeight="1">
      <x:c r="A31" s="350" t="str">
        <x:v>Meta</x:v>
      </x:c>
      <x:c r="B31" s="351" t="str">
        <x:v>Blue Owl Hyperion JV</x:v>
      </x:c>
      <x:c r="C31" s="351" t="str">
        <x:v>Long-lived facility assets</x:v>
      </x:c>
      <x:c r="D31" s="352" t="n">
        <x:v>5000</x:v>
      </x:c>
      <x:c r="E31" s="353" t="str">
        <x:v>Hyperion compute target</x:v>
      </x:c>
      <x:c r="F31" s="354"/>
      <x:c r="G31" s="355" t="n">
        <x:v>27</x:v>
      </x:c>
      <x:c r="H31" s="355" t="n">
        <x:v>5.4</x:v>
      </x:c>
      <x:c r="I31" s="355" t="n">
        <x:v>5.4</x:v>
      </x:c>
      <x:c r="J31" s="355" t="n">
        <x:v>5.4</x:v>
      </x:c>
      <x:c r="K31" s="355"/>
      <x:c r="L31" s="355"/>
      <x:c r="M31" s="355"/>
      <x:c r="N31" s="355"/>
      <x:c r="O31" s="351" t="str">
        <x:v>Long-lived power/cooling/connectivity assets</x:v>
      </x:c>
      <x:c r="P31" s="351" t="str">
        <x:v>No</x:v>
      </x:c>
      <x:c r="Q31" s="351" t="str">
        <x:v>B | S28,S29</x:v>
      </x:c>
      <x:c r="R31" s="356" t="str">
        <x:v>Company calls target compute capacity; treated as IT | Combines the 5 GW project target with approximately $27B of JV assets; scope and timing do not align perfectly.</x:v>
      </x:c>
    </x:row>
    <x:row r="32" ht="78" customHeight="1">
      <x:c r="A32" s="452" t="str">
        <x:v>Meta</x:v>
      </x:c>
      <x:c r="B32" s="453" t="str">
        <x:v>Hyperion regional investment</x:v>
      </x:c>
      <x:c r="C32" s="453" t="str">
        <x:v>Broad campus / regional investment</x:v>
      </x:c>
      <x:c r="D32" s="454" t="n">
        <x:v>5000</x:v>
      </x:c>
      <x:c r="E32" s="455" t="str">
        <x:v>Hyperion compute target</x:v>
      </x:c>
      <x:c r="F32" s="456"/>
      <x:c r="G32" s="457" t="n">
        <x:v>50</x:v>
      </x:c>
      <x:c r="H32" s="457" t="n">
        <x:v>10</x:v>
      </x:c>
      <x:c r="I32" s="457" t="n">
        <x:v>10</x:v>
      </x:c>
      <x:c r="J32" s="457"/>
      <x:c r="K32" s="457"/>
      <x:c r="L32" s="457"/>
      <x:c r="M32" s="457"/>
      <x:c r="N32" s="457"/>
      <x:c r="O32" s="453" t="str">
        <x:v>Broad infrastructure and regional program</x:v>
      </x:c>
      <x:c r="P32" s="453" t="str">
        <x:v>Mixed / unclear</x:v>
      </x:c>
      <x:c r="Q32" s="453" t="str">
        <x:v>C | S28</x:v>
      </x:c>
      <x:c r="R32" s="458" t="str">
        <x:v>Company calls target compute capacity; treated as IT | Company states more than $50B; includes broad regional investment and overlaps the JV asset figure. Do not add the two.</x:v>
      </x:c>
    </x:row>
    <x:row r="33" ht="78" customHeight="1">
      <x:c r="A33" s="350" t="str">
        <x:v>Oracle</x:v>
      </x:c>
      <x:c r="B33" s="351" t="str">
        <x:v>OpenAI / Oracle cross-announcement</x:v>
      </x:c>
      <x:c r="C33" s="351" t="str">
        <x:v>Customer AI service commitment</x:v>
      </x:c>
      <x:c r="D33" s="352" t="n">
        <x:v>5500</x:v>
      </x:c>
      <x:c r="E33" s="353" t="str">
        <x:v>Oracle partnership capacity</x:v>
      </x:c>
      <x:c r="F33" s="354" t="n">
        <x:v>5</x:v>
      </x:c>
      <x:c r="G33" s="355" t="n">
        <x:v>300</x:v>
      </x:c>
      <x:c r="H33" s="355" t="n">
        <x:v>54.54545454545455</x:v>
      </x:c>
      <x:c r="I33" s="355"/>
      <x:c r="J33" s="355"/>
      <x:c r="K33" s="355" t="n">
        <x:v>54.54545454545455</x:v>
      </x:c>
      <x:c r="L33" s="355" t="n">
        <x:v>54.54545454545455</x:v>
      </x:c>
      <x:c r="M33" s="355" t="n">
        <x:v>10.90909090909091</x:v>
      </x:c>
      <x:c r="N33" s="355" t="n">
        <x:v>10.90909090909091</x:v>
      </x:c>
      <x:c r="O33" s="351" t="str">
        <x:v>Yes / service</x:v>
      </x:c>
      <x:c r="P33" s="351" t="str">
        <x:v>Yes / service</x:v>
      </x:c>
      <x:c r="Q33" s="351" t="str">
        <x:v>C | S33,S34</x:v>
      </x:c>
      <x:c r="R33" s="356" t="str">
        <x:v>Capacity described as compute; no conversion | Ratio joins linked announcements rather than a single tariff or contract schedule; timing and overlap remain uncertain.</x:v>
      </x:c>
    </x:row>
    <x:row r="34" ht="78" customHeight="1">
      <x:c r="A34" s="452" t="str">
        <x:v>CoreWeave</x:v>
      </x:c>
      <x:c r="B34" s="453" t="str">
        <x:v>CoreWeave facility lease set</x:v>
      </x:c>
      <x:c r="C34" s="453" t="str">
        <x:v>Recurring powered-shell / facility leases</x:v>
      </x:c>
      <x:c r="D34" s="454"/>
      <x:c r="E34" s="455" t="str">
        <x:v>Critical IT MW across disclosed counterparties</x:v>
      </x:c>
      <x:c r="F34" s="456"/>
      <x:c r="G34" s="457"/>
      <x:c r="H34" s="457"/>
      <x:c r="I34" s="457"/>
      <x:c r="J34" s="457"/>
      <x:c r="K34" s="457" t="n">
        <x:v>17.28813559322034</x:v>
      </x:c>
      <x:c r="L34" s="457" t="n">
        <x:v>37.404580152671755</x:v>
      </x:c>
      <x:c r="M34" s="457" t="n">
        <x:v>1.4406779661016949</x:v>
      </x:c>
      <x:c r="N34" s="457" t="n">
        <x:v>2.3377862595419847</x:v>
      </x:c>
      <x:c r="O34" s="453" t="str">
        <x:v>Generally excluded or passed through</x:v>
      </x:c>
      <x:c r="P34" s="453" t="str">
        <x:v>No</x:v>
      </x:c>
      <x:c r="Q34" s="453" t="str">
        <x:v>A-/B+ | S37,S39-S44,S46</x:v>
      </x:c>
      <x:c r="R34" s="458" t="str">
        <x:v>Each constituent benchmark uses critical IT MW | Range spans different sites, terms and buildout responsibilities; nominal undiscounted lease values, not owned full-stack capex.</x:v>
      </x:c>
    </x:row>
    <x:row r="35" ht="78" customHeight="1">
      <x:c r="A35" s="357" t="str">
        <x:v>Tesla</x:v>
      </x:c>
      <x:c r="B35" s="358" t="str">
        <x:v>No compute-only cost disclosure</x:v>
      </x:c>
      <x:c r="C35" s="358" t="str">
        <x:v>Not disclosed</x:v>
      </x:c>
      <x:c r="D35" s="359"/>
      <x:c r="E35" s="360" t="str">
        <x:v>N/A</x:v>
      </x:c>
      <x:c r="F35" s="361"/>
      <x:c r="G35" s="362"/>
      <x:c r="H35" s="362"/>
      <x:c r="I35" s="362"/>
      <x:c r="J35" s="362"/>
      <x:c r="K35" s="362"/>
      <x:c r="L35" s="362"/>
      <x:c r="M35" s="362"/>
      <x:c r="N35" s="362"/>
      <x:c r="O35" s="358" t="str">
        <x:v>N/A</x:v>
      </x:c>
      <x:c r="P35" s="358" t="str">
        <x:v>N/A</x:v>
      </x:c>
      <x:c r="Q35" s="358" t="str">
        <x:v>N/D | S47</x:v>
      </x:c>
      <x:c r="R35" s="363" t="str">
        <x:v>N/A | Tesla discloses capacity and company-wide capex, but not a compute-only project cost with a defensible GW denominator.</x:v>
      </x:c>
    </x:row>
    <x:row r="37" ht="46" customHeight="1">
      <x:c r="A37" s="321" t="str">
        <x:v>Evidence grades: A = one filing supplies both value and IT-power denominator; A− = direct counterparty disclosure but indirect company linkage; B = direct disclosures joined across documents or imperfectly aligned scopes; C = announcement ratio with material overlap, ramp or denominator uncertainty. Nominal lease/service values are undiscounted and are not capex.</x:v>
      </x:c>
      <x:c r="B37" s="321"/>
      <x:c r="C37" s="321"/>
      <x:c r="D37" s="321"/>
      <x:c r="E37" s="321"/>
      <x:c r="F37" s="321"/>
      <x:c r="G37" s="321"/>
      <x:c r="H37" s="321"/>
      <x:c r="I37" s="321"/>
      <x:c r="J37" s="321"/>
      <x:c r="K37" s="321"/>
      <x:c r="L37" s="321"/>
      <x:c r="M37" s="321"/>
      <x:c r="N37" s="321"/>
      <x:c r="O37" s="321"/>
      <x:c r="P37" s="321"/>
      <x:c r="Q37" s="321"/>
      <x:c r="R37" s="321"/>
    </x:row>
  </x:sheetData>
  <x:mergeCells>
    <x:mergeCell ref="A1:R1"/>
    <x:mergeCell ref="A3:R3"/>
    <x:mergeCell ref="A5:D5"/>
    <x:mergeCell ref="A12:R12"/>
    <x:mergeCell ref="A21:R21"/>
    <x:mergeCell ref="A23:R23"/>
    <x:mergeCell ref="A37:R37"/>
  </x:mergeCells>
  <x:conditionalFormatting sqref="N14:O20">
    <x:cfRule type="dataBar" priority="1">
      <x:dataBar>
        <x:cfvo type="min"/>
        <x:cfvo type="max"/>
        <x:color rgb="FF0F7C82"/>
      </x:dataBar>
      <x:extLst>
        <x:ext xmlns:x14="http://schemas.microsoft.com/office/spreadsheetml/2009/9/main" uri="{B025F937-C7B1-47D3-B67F-A62EFF666E3E}">
          <x14:id>{4F1D7559-CECE-73C8-5ADA-DDCCC64D3C3E}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F1D7559-CECE-73C8-5ADA-DDCCC64D3C3E}">
            <x14:dataBar gradient="1">
              <x14:cfvo type="min"/>
              <x14:cfvo type="max"/>
              <x14:fillColor rgb="FF0F7C82"/>
            </x14:dataBar>
          </x14:cfRule>
          <xm:sqref>N14:O20</xm:sqref>
        </x14:conditionalFormatting>
      </x14:conditionalFormattings>
    </x:ext>
  </x:extLst>
</x:worksheet>
</file>